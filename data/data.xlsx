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cilia\Documents\Modellering\SASM\Modulation\"/>
    </mc:Choice>
  </mc:AlternateContent>
  <xr:revisionPtr revIDLastSave="0" documentId="13_ncr:1_{B97A8B43-C7E4-4AB4-B861-60B225759A47}" xr6:coauthVersionLast="47" xr6:coauthVersionMax="47" xr10:uidLastSave="{00000000-0000-0000-0000-000000000000}"/>
  <bookViews>
    <workbookView xWindow="-120" yWindow="-120" windowWidth="38640" windowHeight="21120" tabRatio="757" firstSheet="9" activeTab="12" xr2:uid="{00000000-000D-0000-FFFF-FFFF00000000}"/>
  </bookViews>
  <sheets>
    <sheet name="README" sheetId="43" r:id="rId1"/>
    <sheet name="BIN(IN,SDP)" sheetId="20" r:id="rId2"/>
    <sheet name="BIR(R,IR,SDP)" sheetId="21" r:id="rId3"/>
    <sheet name="BIRF(IR,R)" sheetId="22" r:id="rId4"/>
    <sheet name="BIRI(IR,R)" sheetId="23" r:id="rId5"/>
    <sheet name="BISFA(SR,IS)" sheetId="24" r:id="rId6"/>
    <sheet name="BMR(R,PR,TRD)" sheetId="25" r:id="rId7"/>
    <sheet name="BPN(PN,SDP)" sheetId="26" r:id="rId8"/>
    <sheet name="BPRN(PR,SDP)" sheetId="27" r:id="rId9"/>
    <sheet name="BPSI_SA(SA,PS)" sheetId="29" r:id="rId10"/>
    <sheet name="BXR(R,PR,TRD)" sheetId="30" r:id="rId11"/>
    <sheet name="CONST(IP,AS)" sheetId="39" r:id="rId12"/>
    <sheet name="DT(RS,RD)" sheetId="31" r:id="rId13"/>
    <sheet name="ECR(R,CR,IP)" sheetId="32" r:id="rId14"/>
    <sheet name="ECR2(R,CR,IP)" sheetId="37" r:id="rId15"/>
    <sheet name="ECR3(R,CR,IP)" sheetId="38" r:id="rId16"/>
    <sheet name="MANURE(AS,IP)" sheetId="34" r:id="rId17"/>
    <sheet name="NSUB(AS,SR)" sheetId="35" r:id="rId18"/>
    <sheet name="NUTRIENT(P,NUTX)" sheetId="36" r:id="rId19"/>
    <sheet name="POP(R)" sheetId="40" r:id="rId20"/>
    <sheet name="PRODCOEFC_SA" sheetId="1" r:id="rId21"/>
    <sheet name="PRODCOEFC2_PO" sheetId="42" r:id="rId22"/>
    <sheet name="PRODCOEFL_SA" sheetId="5" r:id="rId23"/>
    <sheet name="UT(IP)" sheetId="41" r:id="rId24"/>
  </sheets>
  <definedNames>
    <definedName name="_xlnm._FilterDatabase" localSheetId="1" hidden="1">'BIN(IN,SDP)'!$A$1:$C$1</definedName>
    <definedName name="_xlnm._FilterDatabase" localSheetId="2" hidden="1">'BIR(R,IR,SDP)'!$A$1:$D$131</definedName>
    <definedName name="_xlnm._FilterDatabase" localSheetId="3" hidden="1">'BIRF(IR,R)'!$A$1:$C$93</definedName>
    <definedName name="_xlnm._FilterDatabase" localSheetId="6" hidden="1">'BMR(R,PR,TRD)'!$A$1:$D$346</definedName>
    <definedName name="_xlnm._FilterDatabase" localSheetId="8" hidden="1">'BPRN(PR,SDP)'!$A$1:$C$196</definedName>
    <definedName name="_xlnm._FilterDatabase" localSheetId="9" hidden="1">'BPSI_SA(SA,PS)'!$A$1:$C$49</definedName>
    <definedName name="_xlnm._FilterDatabase" localSheetId="11" hidden="1">'CONST(IP,AS)'!$A$1:$C$178</definedName>
    <definedName name="_xlnm._FilterDatabase" localSheetId="13" hidden="1">'ECR(R,CR,IP)'!$A$1:$D$98</definedName>
    <definedName name="_xlnm._FilterDatabase" localSheetId="20" hidden="1">PRODCOEFC_SA!$A$1:$D$1</definedName>
    <definedName name="_xlnm._FilterDatabase" localSheetId="21" hidden="1">PRODCOEFC2_PO!$A$1:$K$1</definedName>
    <definedName name="_xlnm._FilterDatabase" localSheetId="22" hidden="1">PRODCOEFL_SA!$A$1:$D$2155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3" i="42" l="1"/>
  <c r="J183" i="42" s="1"/>
  <c r="I91" i="42"/>
  <c r="J91" i="42" s="1"/>
  <c r="I52" i="42"/>
  <c r="J52" i="42" s="1"/>
  <c r="I251" i="42"/>
  <c r="J251" i="42" s="1"/>
  <c r="I252" i="42"/>
  <c r="J252" i="42" s="1"/>
  <c r="I33" i="42"/>
  <c r="J33" i="42" s="1"/>
  <c r="I242" i="42"/>
  <c r="J242" i="42" s="1"/>
  <c r="I131" i="42"/>
  <c r="J131" i="42" s="1"/>
  <c r="I132" i="42"/>
  <c r="J132" i="42" s="1"/>
  <c r="I133" i="42"/>
  <c r="J133" i="42" s="1"/>
  <c r="I81" i="42"/>
  <c r="J81" i="42" s="1"/>
  <c r="I239" i="42"/>
  <c r="J239" i="42" s="1"/>
  <c r="I92" i="42"/>
  <c r="J92" i="42" s="1"/>
  <c r="I59" i="42"/>
  <c r="J59" i="42" s="1"/>
  <c r="I260" i="42"/>
  <c r="J260" i="42" s="1"/>
  <c r="I134" i="42"/>
  <c r="J134" i="42" s="1"/>
  <c r="I135" i="42"/>
  <c r="J135" i="42" s="1"/>
  <c r="I10" i="42"/>
  <c r="J10" i="42" s="1"/>
  <c r="I26" i="42"/>
  <c r="J26" i="42" s="1"/>
  <c r="I261" i="42"/>
  <c r="J261" i="42" s="1"/>
  <c r="I262" i="42"/>
  <c r="J262" i="42" s="1"/>
  <c r="I93" i="42"/>
  <c r="J93" i="42" s="1"/>
  <c r="I102" i="42"/>
  <c r="J102" i="42" s="1"/>
  <c r="I236" i="42"/>
  <c r="J236" i="42" s="1"/>
  <c r="I119" i="42"/>
  <c r="J119" i="42" s="1"/>
  <c r="I94" i="42"/>
  <c r="J94" i="42" s="1"/>
  <c r="I77" i="42"/>
  <c r="J77" i="42" s="1"/>
  <c r="I253" i="42"/>
  <c r="J253" i="42" s="1"/>
  <c r="I192" i="42"/>
  <c r="J192" i="42" s="1"/>
  <c r="I95" i="42"/>
  <c r="J95" i="42" s="1"/>
  <c r="I34" i="42"/>
  <c r="J34" i="42" s="1"/>
  <c r="I237" i="42"/>
  <c r="J237" i="42" s="1"/>
  <c r="I170" i="42"/>
  <c r="J170" i="42" s="1"/>
  <c r="I96" i="42"/>
  <c r="J96" i="42" s="1"/>
  <c r="I71" i="42"/>
  <c r="J71" i="42" s="1"/>
  <c r="I254" i="42"/>
  <c r="J254" i="42" s="1"/>
  <c r="I120" i="42"/>
  <c r="J120" i="42" s="1"/>
  <c r="I97" i="42"/>
  <c r="J97" i="42" s="1"/>
  <c r="I78" i="42"/>
  <c r="J78" i="42" s="1"/>
  <c r="I255" i="42"/>
  <c r="J255" i="42" s="1"/>
  <c r="I220" i="42"/>
  <c r="J220" i="42" s="1"/>
  <c r="I123" i="42"/>
  <c r="J123" i="42" s="1"/>
  <c r="I79" i="42"/>
  <c r="J79" i="42" s="1"/>
  <c r="I256" i="42"/>
  <c r="J256" i="42" s="1"/>
  <c r="I246" i="42"/>
  <c r="J246" i="42" s="1"/>
  <c r="I40" i="42"/>
  <c r="J40" i="42" s="1"/>
  <c r="I263" i="42"/>
  <c r="J263" i="42" s="1"/>
  <c r="I147" i="42"/>
  <c r="J147" i="42" s="1"/>
  <c r="I148" i="42"/>
  <c r="J148" i="42" s="1"/>
  <c r="I149" i="42"/>
  <c r="J149" i="42" s="1"/>
  <c r="I82" i="42"/>
  <c r="J82" i="42" s="1"/>
  <c r="I248" i="42"/>
  <c r="J248" i="42" s="1"/>
  <c r="I124" i="42"/>
  <c r="J124" i="42" s="1"/>
  <c r="I100" i="42"/>
  <c r="J100" i="42" s="1"/>
  <c r="I264" i="42"/>
  <c r="J264" i="42" s="1"/>
  <c r="I150" i="42"/>
  <c r="J150" i="42" s="1"/>
  <c r="I151" i="42"/>
  <c r="J151" i="42" s="1"/>
  <c r="I8" i="42"/>
  <c r="J8" i="42" s="1"/>
  <c r="I35" i="42"/>
  <c r="J35" i="42" s="1"/>
  <c r="I265" i="42"/>
  <c r="J265" i="42" s="1"/>
  <c r="I266" i="42"/>
  <c r="J266" i="42" s="1"/>
  <c r="I125" i="42"/>
  <c r="J125" i="42" s="1"/>
  <c r="I70" i="42"/>
  <c r="J70" i="42" s="1"/>
  <c r="I200" i="42"/>
  <c r="J200" i="42" s="1"/>
  <c r="I145" i="42"/>
  <c r="J145" i="42" s="1"/>
  <c r="I57" i="42"/>
  <c r="J57" i="42" s="1"/>
  <c r="I5" i="42"/>
  <c r="J5" i="42" s="1"/>
  <c r="I267" i="42"/>
  <c r="J267" i="42" s="1"/>
  <c r="I157" i="42"/>
  <c r="J157" i="42" s="1"/>
  <c r="I126" i="42"/>
  <c r="J126" i="42" s="1"/>
  <c r="I50" i="42"/>
  <c r="J50" i="42" s="1"/>
  <c r="I249" i="42"/>
  <c r="J249" i="42" s="1"/>
  <c r="I196" i="42"/>
  <c r="J196" i="42" s="1"/>
  <c r="I127" i="42"/>
  <c r="J127" i="42" s="1"/>
  <c r="I27" i="42"/>
  <c r="J27" i="42" s="1"/>
  <c r="I202" i="42"/>
  <c r="J202" i="42" s="1"/>
  <c r="I174" i="42"/>
  <c r="J174" i="42" s="1"/>
  <c r="I128" i="42"/>
  <c r="J128" i="42" s="1"/>
  <c r="I39" i="42"/>
  <c r="J39" i="42" s="1"/>
  <c r="I243" i="42"/>
  <c r="J243" i="42" s="1"/>
  <c r="I158" i="42"/>
  <c r="J158" i="42" s="1"/>
  <c r="I129" i="42"/>
  <c r="J129" i="42" s="1"/>
  <c r="I51" i="42"/>
  <c r="J51" i="42" s="1"/>
  <c r="I250" i="42"/>
  <c r="J250" i="42" s="1"/>
  <c r="I173" i="42"/>
  <c r="J173" i="42" s="1"/>
  <c r="I104" i="42"/>
  <c r="J104" i="42" s="1"/>
  <c r="I53" i="42"/>
  <c r="J53" i="42" s="1"/>
  <c r="I293" i="42"/>
  <c r="J293" i="42" s="1"/>
  <c r="I294" i="42"/>
  <c r="J294" i="42" s="1"/>
  <c r="I30" i="42"/>
  <c r="J30" i="42" s="1"/>
  <c r="I295" i="42"/>
  <c r="J295" i="42" s="1"/>
  <c r="I176" i="42"/>
  <c r="J176" i="42" s="1"/>
  <c r="I177" i="42"/>
  <c r="J177" i="42" s="1"/>
  <c r="I178" i="42"/>
  <c r="J178" i="42" s="1"/>
  <c r="I86" i="42"/>
  <c r="J86" i="42" s="1"/>
  <c r="I238" i="42"/>
  <c r="J238" i="42" s="1"/>
  <c r="I105" i="42"/>
  <c r="J105" i="42" s="1"/>
  <c r="I60" i="42"/>
  <c r="J60" i="42" s="1"/>
  <c r="I296" i="42"/>
  <c r="J296" i="42" s="1"/>
  <c r="I179" i="42"/>
  <c r="J179" i="42" s="1"/>
  <c r="I180" i="42"/>
  <c r="J180" i="42" s="1"/>
  <c r="I18" i="42"/>
  <c r="J18" i="42" s="1"/>
  <c r="I28" i="42"/>
  <c r="J28" i="42" s="1"/>
  <c r="I297" i="42"/>
  <c r="J297" i="42" s="1"/>
  <c r="I298" i="42"/>
  <c r="J298" i="42" s="1"/>
  <c r="I106" i="42"/>
  <c r="J106" i="42" s="1"/>
  <c r="I175" i="42"/>
  <c r="J175" i="42" s="1"/>
  <c r="I231" i="42"/>
  <c r="J231" i="42" s="1"/>
  <c r="I167" i="42"/>
  <c r="J167" i="42" s="1"/>
  <c r="I107" i="42"/>
  <c r="J107" i="42" s="1"/>
  <c r="I89" i="42"/>
  <c r="J89" i="42" s="1"/>
  <c r="I299" i="42"/>
  <c r="J299" i="42" s="1"/>
  <c r="I199" i="42"/>
  <c r="J199" i="42" s="1"/>
  <c r="I108" i="42"/>
  <c r="J108" i="42" s="1"/>
  <c r="I116" i="42"/>
  <c r="J116" i="42" s="1"/>
  <c r="I232" i="42"/>
  <c r="J232" i="42" s="1"/>
  <c r="I186" i="42"/>
  <c r="J186" i="42" s="1"/>
  <c r="I109" i="42"/>
  <c r="J109" i="42" s="1"/>
  <c r="I74" i="42"/>
  <c r="J74" i="42" s="1"/>
  <c r="I300" i="42"/>
  <c r="J300" i="42" s="1"/>
  <c r="I168" i="42"/>
  <c r="J168" i="42" s="1"/>
  <c r="I110" i="42"/>
  <c r="J110" i="42" s="1"/>
  <c r="I90" i="42"/>
  <c r="J90" i="42" s="1"/>
  <c r="I301" i="42"/>
  <c r="J301" i="42" s="1"/>
  <c r="E61" i="42"/>
  <c r="F61" i="42" s="1"/>
  <c r="G61" i="42" s="1"/>
  <c r="H61" i="42" s="1"/>
  <c r="I61" i="42" s="1"/>
  <c r="J61" i="42" s="1"/>
  <c r="K61" i="42" s="1"/>
  <c r="E36" i="42"/>
  <c r="F36" i="42" s="1"/>
  <c r="G36" i="42" s="1"/>
  <c r="H36" i="42" s="1"/>
  <c r="I36" i="42" s="1"/>
  <c r="J36" i="42" s="1"/>
  <c r="K36" i="42" s="1"/>
  <c r="E240" i="42"/>
  <c r="F240" i="42" s="1"/>
  <c r="G240" i="42" s="1"/>
  <c r="H240" i="42" s="1"/>
  <c r="I240" i="42" s="1"/>
  <c r="J240" i="42" s="1"/>
  <c r="K240" i="42" s="1"/>
  <c r="E241" i="42"/>
  <c r="F241" i="42" s="1"/>
  <c r="G241" i="42" s="1"/>
  <c r="H241" i="42" s="1"/>
  <c r="I241" i="42" s="1"/>
  <c r="J241" i="42" s="1"/>
  <c r="K241" i="42" s="1"/>
  <c r="E13" i="42"/>
  <c r="F13" i="42" s="1"/>
  <c r="G13" i="42" s="1"/>
  <c r="H13" i="42" s="1"/>
  <c r="I13" i="42" s="1"/>
  <c r="J13" i="42" s="1"/>
  <c r="K13" i="42" s="1"/>
  <c r="E257" i="42"/>
  <c r="F257" i="42" s="1"/>
  <c r="G257" i="42" s="1"/>
  <c r="H257" i="42" s="1"/>
  <c r="I257" i="42" s="1"/>
  <c r="J257" i="42" s="1"/>
  <c r="K257" i="42" s="1"/>
  <c r="E139" i="42"/>
  <c r="F139" i="42" s="1"/>
  <c r="G139" i="42" s="1"/>
  <c r="H139" i="42" s="1"/>
  <c r="I139" i="42" s="1"/>
  <c r="J139" i="42" s="1"/>
  <c r="K139" i="42" s="1"/>
  <c r="E140" i="42"/>
  <c r="F140" i="42" s="1"/>
  <c r="G140" i="42" s="1"/>
  <c r="H140" i="42" s="1"/>
  <c r="I140" i="42" s="1"/>
  <c r="J140" i="42" s="1"/>
  <c r="K140" i="42" s="1"/>
  <c r="E141" i="42"/>
  <c r="F141" i="42" s="1"/>
  <c r="G141" i="42" s="1"/>
  <c r="H141" i="42" s="1"/>
  <c r="I141" i="42" s="1"/>
  <c r="J141" i="42" s="1"/>
  <c r="K141" i="42" s="1"/>
  <c r="E80" i="42"/>
  <c r="F80" i="42" s="1"/>
  <c r="G80" i="42" s="1"/>
  <c r="H80" i="42" s="1"/>
  <c r="I80" i="42" s="1"/>
  <c r="J80" i="42" s="1"/>
  <c r="K80" i="42" s="1"/>
  <c r="E233" i="42"/>
  <c r="F233" i="42" s="1"/>
  <c r="G233" i="42" s="1"/>
  <c r="H233" i="42" s="1"/>
  <c r="I233" i="42" s="1"/>
  <c r="J233" i="42" s="1"/>
  <c r="K233" i="42" s="1"/>
  <c r="E62" i="42"/>
  <c r="F62" i="42" s="1"/>
  <c r="G62" i="42" s="1"/>
  <c r="H62" i="42" s="1"/>
  <c r="I62" i="42" s="1"/>
  <c r="J62" i="42" s="1"/>
  <c r="K62" i="42" s="1"/>
  <c r="E38" i="42"/>
  <c r="F38" i="42" s="1"/>
  <c r="G38" i="42" s="1"/>
  <c r="H38" i="42" s="1"/>
  <c r="I38" i="42" s="1"/>
  <c r="J38" i="42" s="1"/>
  <c r="K38" i="42" s="1"/>
  <c r="E247" i="42"/>
  <c r="F247" i="42" s="1"/>
  <c r="G247" i="42" s="1"/>
  <c r="H247" i="42" s="1"/>
  <c r="I247" i="42" s="1"/>
  <c r="J247" i="42" s="1"/>
  <c r="K247" i="42" s="1"/>
  <c r="E142" i="42"/>
  <c r="F142" i="42" s="1"/>
  <c r="G142" i="42" s="1"/>
  <c r="H142" i="42" s="1"/>
  <c r="I142" i="42" s="1"/>
  <c r="J142" i="42" s="1"/>
  <c r="K142" i="42" s="1"/>
  <c r="E143" i="42"/>
  <c r="F143" i="42" s="1"/>
  <c r="G143" i="42" s="1"/>
  <c r="H143" i="42" s="1"/>
  <c r="I143" i="42" s="1"/>
  <c r="J143" i="42" s="1"/>
  <c r="K143" i="42" s="1"/>
  <c r="E7" i="42"/>
  <c r="F7" i="42" s="1"/>
  <c r="G7" i="42" s="1"/>
  <c r="H7" i="42" s="1"/>
  <c r="I7" i="42" s="1"/>
  <c r="J7" i="42" s="1"/>
  <c r="K7" i="42" s="1"/>
  <c r="E17" i="42"/>
  <c r="F17" i="42" s="1"/>
  <c r="G17" i="42" s="1"/>
  <c r="H17" i="42" s="1"/>
  <c r="I17" i="42" s="1"/>
  <c r="J17" i="42" s="1"/>
  <c r="K17" i="42" s="1"/>
  <c r="E214" i="42"/>
  <c r="F214" i="42" s="1"/>
  <c r="G214" i="42" s="1"/>
  <c r="H214" i="42" s="1"/>
  <c r="I214" i="42" s="1"/>
  <c r="J214" i="42" s="1"/>
  <c r="K214" i="42" s="1"/>
  <c r="E258" i="42"/>
  <c r="F258" i="42" s="1"/>
  <c r="G258" i="42" s="1"/>
  <c r="H258" i="42" s="1"/>
  <c r="I258" i="42" s="1"/>
  <c r="J258" i="42" s="1"/>
  <c r="K258" i="42" s="1"/>
  <c r="E63" i="42"/>
  <c r="F63" i="42" s="1"/>
  <c r="G63" i="42" s="1"/>
  <c r="H63" i="42" s="1"/>
  <c r="I63" i="42" s="1"/>
  <c r="J63" i="42" s="1"/>
  <c r="K63" i="42" s="1"/>
  <c r="E49" i="42"/>
  <c r="F49" i="42" s="1"/>
  <c r="G49" i="42" s="1"/>
  <c r="H49" i="42" s="1"/>
  <c r="I49" i="42" s="1"/>
  <c r="J49" i="42" s="1"/>
  <c r="K49" i="42" s="1"/>
  <c r="E193" i="42"/>
  <c r="F193" i="42" s="1"/>
  <c r="G193" i="42" s="1"/>
  <c r="H193" i="42" s="1"/>
  <c r="I193" i="42" s="1"/>
  <c r="J193" i="42" s="1"/>
  <c r="K193" i="42" s="1"/>
  <c r="E144" i="42"/>
  <c r="F144" i="42" s="1"/>
  <c r="G144" i="42" s="1"/>
  <c r="H144" i="42" s="1"/>
  <c r="I144" i="42" s="1"/>
  <c r="J144" i="42" s="1"/>
  <c r="K144" i="42" s="1"/>
  <c r="E56" i="42"/>
  <c r="F56" i="42" s="1"/>
  <c r="G56" i="42" s="1"/>
  <c r="H56" i="42" s="1"/>
  <c r="I56" i="42" s="1"/>
  <c r="J56" i="42" s="1"/>
  <c r="K56" i="42" s="1"/>
  <c r="E4" i="42"/>
  <c r="F4" i="42" s="1"/>
  <c r="G4" i="42" s="1"/>
  <c r="H4" i="42" s="1"/>
  <c r="I4" i="42" s="1"/>
  <c r="J4" i="42" s="1"/>
  <c r="K4" i="42" s="1"/>
  <c r="E259" i="42"/>
  <c r="F259" i="42" s="1"/>
  <c r="G259" i="42" s="1"/>
  <c r="H259" i="42" s="1"/>
  <c r="I259" i="42" s="1"/>
  <c r="J259" i="42" s="1"/>
  <c r="K259" i="42" s="1"/>
  <c r="E64" i="42"/>
  <c r="F64" i="42" s="1"/>
  <c r="G64" i="42" s="1"/>
  <c r="H64" i="42" s="1"/>
  <c r="I64" i="42" s="1"/>
  <c r="J64" i="42" s="1"/>
  <c r="K64" i="42" s="1"/>
  <c r="E65" i="42"/>
  <c r="F65" i="42" s="1"/>
  <c r="G65" i="42" s="1"/>
  <c r="H65" i="42" s="1"/>
  <c r="I65" i="42" s="1"/>
  <c r="J65" i="42" s="1"/>
  <c r="K65" i="42" s="1"/>
  <c r="E19" i="42"/>
  <c r="F19" i="42" s="1"/>
  <c r="G19" i="42" s="1"/>
  <c r="H19" i="42" s="1"/>
  <c r="I19" i="42" s="1"/>
  <c r="J19" i="42" s="1"/>
  <c r="K19" i="42" s="1"/>
  <c r="E234" i="42"/>
  <c r="F234" i="42" s="1"/>
  <c r="G234" i="42" s="1"/>
  <c r="H234" i="42" s="1"/>
  <c r="I234" i="42" s="1"/>
  <c r="J234" i="42" s="1"/>
  <c r="K234" i="42" s="1"/>
  <c r="E166" i="42"/>
  <c r="F166" i="42" s="1"/>
  <c r="G166" i="42" s="1"/>
  <c r="H166" i="42" s="1"/>
  <c r="I166" i="42" s="1"/>
  <c r="J166" i="42" s="1"/>
  <c r="K166" i="42" s="1"/>
  <c r="E66" i="42"/>
  <c r="F66" i="42" s="1"/>
  <c r="G66" i="42" s="1"/>
  <c r="H66" i="42" s="1"/>
  <c r="I66" i="42" s="1"/>
  <c r="J66" i="42" s="1"/>
  <c r="K66" i="42" s="1"/>
  <c r="E24" i="42"/>
  <c r="F24" i="42" s="1"/>
  <c r="G24" i="42" s="1"/>
  <c r="H24" i="42" s="1"/>
  <c r="I24" i="42" s="1"/>
  <c r="J24" i="42" s="1"/>
  <c r="K24" i="42" s="1"/>
  <c r="E195" i="42"/>
  <c r="F195" i="42" s="1"/>
  <c r="G195" i="42" s="1"/>
  <c r="H195" i="42" s="1"/>
  <c r="I195" i="42" s="1"/>
  <c r="J195" i="42" s="1"/>
  <c r="K195" i="42" s="1"/>
  <c r="E115" i="42"/>
  <c r="F115" i="42" s="1"/>
  <c r="G115" i="42" s="1"/>
  <c r="H115" i="42" s="1"/>
  <c r="I115" i="42" s="1"/>
  <c r="J115" i="42" s="1"/>
  <c r="K115" i="42" s="1"/>
  <c r="E67" i="42"/>
  <c r="F67" i="42" s="1"/>
  <c r="G67" i="42" s="1"/>
  <c r="H67" i="42" s="1"/>
  <c r="I67" i="42" s="1"/>
  <c r="J67" i="42" s="1"/>
  <c r="K67" i="42" s="1"/>
  <c r="E14" i="42"/>
  <c r="F14" i="42" s="1"/>
  <c r="G14" i="42" s="1"/>
  <c r="H14" i="42" s="1"/>
  <c r="I14" i="42" s="1"/>
  <c r="J14" i="42" s="1"/>
  <c r="K14" i="42" s="1"/>
  <c r="E217" i="42"/>
  <c r="F217" i="42" s="1"/>
  <c r="G217" i="42" s="1"/>
  <c r="H217" i="42" s="1"/>
  <c r="I217" i="42" s="1"/>
  <c r="J217" i="42" s="1"/>
  <c r="K217" i="42" s="1"/>
  <c r="E68" i="42"/>
  <c r="F68" i="42" s="1"/>
  <c r="G68" i="42" s="1"/>
  <c r="H68" i="42" s="1"/>
  <c r="I68" i="42" s="1"/>
  <c r="J68" i="42" s="1"/>
  <c r="K68" i="42" s="1"/>
  <c r="E69" i="42"/>
  <c r="F69" i="42" s="1"/>
  <c r="G69" i="42" s="1"/>
  <c r="H69" i="42" s="1"/>
  <c r="I69" i="42" s="1"/>
  <c r="J69" i="42" s="1"/>
  <c r="K69" i="42" s="1"/>
  <c r="E20" i="42"/>
  <c r="F20" i="42" s="1"/>
  <c r="G20" i="42" s="1"/>
  <c r="H20" i="42" s="1"/>
  <c r="I20" i="42" s="1"/>
  <c r="J20" i="42" s="1"/>
  <c r="K20" i="42" s="1"/>
  <c r="E235" i="42"/>
  <c r="F235" i="42" s="1"/>
  <c r="G235" i="42" s="1"/>
  <c r="H235" i="42" s="1"/>
  <c r="I235" i="42" s="1"/>
  <c r="J235" i="42" s="1"/>
  <c r="K235" i="42" s="1"/>
  <c r="E183" i="42"/>
  <c r="F183" i="42" s="1"/>
  <c r="G183" i="42" s="1"/>
  <c r="E91" i="42"/>
  <c r="F91" i="42" s="1"/>
  <c r="G91" i="42" s="1"/>
  <c r="E52" i="42"/>
  <c r="F52" i="42" s="1"/>
  <c r="G52" i="42" s="1"/>
  <c r="E251" i="42"/>
  <c r="F251" i="42" s="1"/>
  <c r="G251" i="42" s="1"/>
  <c r="E252" i="42"/>
  <c r="F252" i="42" s="1"/>
  <c r="G252" i="42" s="1"/>
  <c r="E33" i="42"/>
  <c r="F33" i="42" s="1"/>
  <c r="G33" i="42" s="1"/>
  <c r="E242" i="42"/>
  <c r="F242" i="42" s="1"/>
  <c r="G242" i="42" s="1"/>
  <c r="E131" i="42"/>
  <c r="F131" i="42" s="1"/>
  <c r="G131" i="42" s="1"/>
  <c r="E132" i="42"/>
  <c r="F132" i="42" s="1"/>
  <c r="G132" i="42" s="1"/>
  <c r="E133" i="42"/>
  <c r="F133" i="42" s="1"/>
  <c r="G133" i="42" s="1"/>
  <c r="E81" i="42"/>
  <c r="F81" i="42" s="1"/>
  <c r="G81" i="42" s="1"/>
  <c r="E239" i="42"/>
  <c r="F239" i="42" s="1"/>
  <c r="G239" i="42" s="1"/>
  <c r="E92" i="42"/>
  <c r="F92" i="42" s="1"/>
  <c r="G92" i="42" s="1"/>
  <c r="E59" i="42"/>
  <c r="F59" i="42" s="1"/>
  <c r="G59" i="42" s="1"/>
  <c r="E260" i="42"/>
  <c r="F260" i="42" s="1"/>
  <c r="G260" i="42" s="1"/>
  <c r="E134" i="42"/>
  <c r="F134" i="42" s="1"/>
  <c r="G134" i="42" s="1"/>
  <c r="E135" i="42"/>
  <c r="F135" i="42" s="1"/>
  <c r="G135" i="42" s="1"/>
  <c r="E10" i="42"/>
  <c r="F10" i="42" s="1"/>
  <c r="G10" i="42" s="1"/>
  <c r="E26" i="42"/>
  <c r="F26" i="42" s="1"/>
  <c r="G26" i="42" s="1"/>
  <c r="E261" i="42"/>
  <c r="F261" i="42" s="1"/>
  <c r="G261" i="42" s="1"/>
  <c r="E262" i="42"/>
  <c r="F262" i="42" s="1"/>
  <c r="G262" i="42" s="1"/>
  <c r="E93" i="42"/>
  <c r="F93" i="42" s="1"/>
  <c r="G93" i="42" s="1"/>
  <c r="E102" i="42"/>
  <c r="F102" i="42" s="1"/>
  <c r="G102" i="42" s="1"/>
  <c r="E236" i="42"/>
  <c r="F236" i="42" s="1"/>
  <c r="G236" i="42" s="1"/>
  <c r="E119" i="42"/>
  <c r="F119" i="42" s="1"/>
  <c r="G119" i="42" s="1"/>
  <c r="E94" i="42"/>
  <c r="F94" i="42" s="1"/>
  <c r="G94" i="42" s="1"/>
  <c r="E77" i="42"/>
  <c r="F77" i="42" s="1"/>
  <c r="G77" i="42" s="1"/>
  <c r="E253" i="42"/>
  <c r="F253" i="42" s="1"/>
  <c r="G253" i="42" s="1"/>
  <c r="E192" i="42"/>
  <c r="F192" i="42" s="1"/>
  <c r="G192" i="42" s="1"/>
  <c r="E95" i="42"/>
  <c r="F95" i="42" s="1"/>
  <c r="G95" i="42" s="1"/>
  <c r="E34" i="42"/>
  <c r="F34" i="42" s="1"/>
  <c r="G34" i="42" s="1"/>
  <c r="E237" i="42"/>
  <c r="F237" i="42" s="1"/>
  <c r="G237" i="42" s="1"/>
  <c r="E170" i="42"/>
  <c r="F170" i="42" s="1"/>
  <c r="G170" i="42" s="1"/>
  <c r="E96" i="42"/>
  <c r="F96" i="42" s="1"/>
  <c r="G96" i="42" s="1"/>
  <c r="E71" i="42"/>
  <c r="F71" i="42" s="1"/>
  <c r="G71" i="42" s="1"/>
  <c r="E254" i="42"/>
  <c r="F254" i="42" s="1"/>
  <c r="G254" i="42" s="1"/>
  <c r="E120" i="42"/>
  <c r="F120" i="42" s="1"/>
  <c r="G120" i="42" s="1"/>
  <c r="E97" i="42"/>
  <c r="F97" i="42" s="1"/>
  <c r="G97" i="42" s="1"/>
  <c r="E78" i="42"/>
  <c r="F78" i="42" s="1"/>
  <c r="G78" i="42" s="1"/>
  <c r="E255" i="42"/>
  <c r="F255" i="42" s="1"/>
  <c r="G255" i="42" s="1"/>
  <c r="E220" i="42"/>
  <c r="F220" i="42" s="1"/>
  <c r="G220" i="42" s="1"/>
  <c r="E123" i="42"/>
  <c r="F123" i="42" s="1"/>
  <c r="G123" i="42" s="1"/>
  <c r="E79" i="42"/>
  <c r="F79" i="42" s="1"/>
  <c r="G79" i="42" s="1"/>
  <c r="E256" i="42"/>
  <c r="F256" i="42" s="1"/>
  <c r="G256" i="42" s="1"/>
  <c r="E246" i="42"/>
  <c r="F246" i="42" s="1"/>
  <c r="G246" i="42" s="1"/>
  <c r="E40" i="42"/>
  <c r="F40" i="42" s="1"/>
  <c r="G40" i="42" s="1"/>
  <c r="E263" i="42"/>
  <c r="F263" i="42" s="1"/>
  <c r="G263" i="42" s="1"/>
  <c r="E147" i="42"/>
  <c r="F147" i="42" s="1"/>
  <c r="G147" i="42" s="1"/>
  <c r="E148" i="42"/>
  <c r="F148" i="42" s="1"/>
  <c r="G148" i="42" s="1"/>
  <c r="E149" i="42"/>
  <c r="F149" i="42" s="1"/>
  <c r="G149" i="42" s="1"/>
  <c r="E82" i="42"/>
  <c r="F82" i="42" s="1"/>
  <c r="G82" i="42" s="1"/>
  <c r="E248" i="42"/>
  <c r="F248" i="42" s="1"/>
  <c r="G248" i="42" s="1"/>
  <c r="E124" i="42"/>
  <c r="F124" i="42" s="1"/>
  <c r="G124" i="42" s="1"/>
  <c r="E100" i="42"/>
  <c r="F100" i="42" s="1"/>
  <c r="G100" i="42" s="1"/>
  <c r="E264" i="42"/>
  <c r="F264" i="42" s="1"/>
  <c r="G264" i="42" s="1"/>
  <c r="E150" i="42"/>
  <c r="F150" i="42" s="1"/>
  <c r="G150" i="42" s="1"/>
  <c r="E151" i="42"/>
  <c r="F151" i="42" s="1"/>
  <c r="G151" i="42" s="1"/>
  <c r="E8" i="42"/>
  <c r="F8" i="42" s="1"/>
  <c r="G8" i="42" s="1"/>
  <c r="E35" i="42"/>
  <c r="F35" i="42" s="1"/>
  <c r="G35" i="42" s="1"/>
  <c r="E265" i="42"/>
  <c r="F265" i="42" s="1"/>
  <c r="G265" i="42" s="1"/>
  <c r="E266" i="42"/>
  <c r="F266" i="42" s="1"/>
  <c r="G266" i="42" s="1"/>
  <c r="E125" i="42"/>
  <c r="F125" i="42" s="1"/>
  <c r="G125" i="42" s="1"/>
  <c r="E70" i="42"/>
  <c r="F70" i="42" s="1"/>
  <c r="G70" i="42" s="1"/>
  <c r="E200" i="42"/>
  <c r="F200" i="42" s="1"/>
  <c r="G200" i="42" s="1"/>
  <c r="E145" i="42"/>
  <c r="F145" i="42" s="1"/>
  <c r="G145" i="42" s="1"/>
  <c r="E57" i="42"/>
  <c r="F57" i="42" s="1"/>
  <c r="G57" i="42" s="1"/>
  <c r="E5" i="42"/>
  <c r="F5" i="42" s="1"/>
  <c r="G5" i="42" s="1"/>
  <c r="E267" i="42"/>
  <c r="F267" i="42" s="1"/>
  <c r="G267" i="42" s="1"/>
  <c r="E157" i="42"/>
  <c r="F157" i="42" s="1"/>
  <c r="G157" i="42" s="1"/>
  <c r="E126" i="42"/>
  <c r="F126" i="42" s="1"/>
  <c r="G126" i="42" s="1"/>
  <c r="E50" i="42"/>
  <c r="F50" i="42" s="1"/>
  <c r="G50" i="42" s="1"/>
  <c r="E249" i="42"/>
  <c r="F249" i="42" s="1"/>
  <c r="G249" i="42" s="1"/>
  <c r="E196" i="42"/>
  <c r="F196" i="42" s="1"/>
  <c r="G196" i="42" s="1"/>
  <c r="E127" i="42"/>
  <c r="F127" i="42" s="1"/>
  <c r="G127" i="42" s="1"/>
  <c r="E27" i="42"/>
  <c r="F27" i="42" s="1"/>
  <c r="G27" i="42" s="1"/>
  <c r="E202" i="42"/>
  <c r="F202" i="42" s="1"/>
  <c r="G202" i="42" s="1"/>
  <c r="E174" i="42"/>
  <c r="F174" i="42" s="1"/>
  <c r="G174" i="42" s="1"/>
  <c r="E128" i="42"/>
  <c r="F128" i="42" s="1"/>
  <c r="G128" i="42" s="1"/>
  <c r="E39" i="42"/>
  <c r="F39" i="42" s="1"/>
  <c r="G39" i="42" s="1"/>
  <c r="E243" i="42"/>
  <c r="F243" i="42" s="1"/>
  <c r="G243" i="42" s="1"/>
  <c r="E158" i="42"/>
  <c r="F158" i="42" s="1"/>
  <c r="G158" i="42" s="1"/>
  <c r="E129" i="42"/>
  <c r="F129" i="42" s="1"/>
  <c r="G129" i="42" s="1"/>
  <c r="E51" i="42"/>
  <c r="F51" i="42" s="1"/>
  <c r="G51" i="42" s="1"/>
  <c r="E250" i="42"/>
  <c r="F250" i="42" s="1"/>
  <c r="G250" i="42" s="1"/>
  <c r="E136" i="42"/>
  <c r="F136" i="42" s="1"/>
  <c r="G136" i="42" s="1"/>
  <c r="H136" i="42" s="1"/>
  <c r="I136" i="42" s="1"/>
  <c r="J136" i="42" s="1"/>
  <c r="K136" i="42" s="1"/>
  <c r="E42" i="42"/>
  <c r="F42" i="42" s="1"/>
  <c r="G42" i="42" s="1"/>
  <c r="H42" i="42" s="1"/>
  <c r="I42" i="42" s="1"/>
  <c r="J42" i="42" s="1"/>
  <c r="K42" i="42" s="1"/>
  <c r="E29" i="42"/>
  <c r="F29" i="42" s="1"/>
  <c r="G29" i="42" s="1"/>
  <c r="H29" i="42" s="1"/>
  <c r="I29" i="42" s="1"/>
  <c r="J29" i="42" s="1"/>
  <c r="K29" i="42" s="1"/>
  <c r="E230" i="42"/>
  <c r="F230" i="42" s="1"/>
  <c r="G230" i="42" s="1"/>
  <c r="H230" i="42" s="1"/>
  <c r="I230" i="42" s="1"/>
  <c r="J230" i="42" s="1"/>
  <c r="K230" i="42" s="1"/>
  <c r="E218" i="42"/>
  <c r="F218" i="42" s="1"/>
  <c r="G218" i="42" s="1"/>
  <c r="H218" i="42" s="1"/>
  <c r="I218" i="42" s="1"/>
  <c r="J218" i="42" s="1"/>
  <c r="K218" i="42" s="1"/>
  <c r="E25" i="42"/>
  <c r="F25" i="42" s="1"/>
  <c r="G25" i="42" s="1"/>
  <c r="H25" i="42" s="1"/>
  <c r="I25" i="42" s="1"/>
  <c r="J25" i="42" s="1"/>
  <c r="K25" i="42" s="1"/>
  <c r="E201" i="42"/>
  <c r="F201" i="42" s="1"/>
  <c r="G201" i="42" s="1"/>
  <c r="H201" i="42" s="1"/>
  <c r="I201" i="42" s="1"/>
  <c r="J201" i="42" s="1"/>
  <c r="K201" i="42" s="1"/>
  <c r="E152" i="42"/>
  <c r="F152" i="42" s="1"/>
  <c r="G152" i="42" s="1"/>
  <c r="H152" i="42" s="1"/>
  <c r="I152" i="42" s="1"/>
  <c r="J152" i="42" s="1"/>
  <c r="K152" i="42" s="1"/>
  <c r="E153" i="42"/>
  <c r="F153" i="42" s="1"/>
  <c r="G153" i="42" s="1"/>
  <c r="H153" i="42" s="1"/>
  <c r="I153" i="42" s="1"/>
  <c r="J153" i="42" s="1"/>
  <c r="K153" i="42" s="1"/>
  <c r="E154" i="42"/>
  <c r="F154" i="42" s="1"/>
  <c r="G154" i="42" s="1"/>
  <c r="H154" i="42" s="1"/>
  <c r="I154" i="42" s="1"/>
  <c r="J154" i="42" s="1"/>
  <c r="K154" i="42" s="1"/>
  <c r="E83" i="42"/>
  <c r="F83" i="42" s="1"/>
  <c r="G83" i="42" s="1"/>
  <c r="H83" i="42" s="1"/>
  <c r="I83" i="42" s="1"/>
  <c r="J83" i="42" s="1"/>
  <c r="K83" i="42" s="1"/>
  <c r="E219" i="42"/>
  <c r="F219" i="42" s="1"/>
  <c r="G219" i="42" s="1"/>
  <c r="H219" i="42" s="1"/>
  <c r="I219" i="42" s="1"/>
  <c r="J219" i="42" s="1"/>
  <c r="K219" i="42" s="1"/>
  <c r="E43" i="42"/>
  <c r="F43" i="42" s="1"/>
  <c r="G43" i="42" s="1"/>
  <c r="H43" i="42" s="1"/>
  <c r="I43" i="42" s="1"/>
  <c r="J43" i="42" s="1"/>
  <c r="K43" i="42" s="1"/>
  <c r="E31" i="42"/>
  <c r="F31" i="42" s="1"/>
  <c r="G31" i="42" s="1"/>
  <c r="H31" i="42" s="1"/>
  <c r="I31" i="42" s="1"/>
  <c r="J31" i="42" s="1"/>
  <c r="K31" i="42" s="1"/>
  <c r="E244" i="42"/>
  <c r="F244" i="42" s="1"/>
  <c r="G244" i="42" s="1"/>
  <c r="H244" i="42" s="1"/>
  <c r="I244" i="42" s="1"/>
  <c r="J244" i="42" s="1"/>
  <c r="K244" i="42" s="1"/>
  <c r="E155" i="42"/>
  <c r="F155" i="42" s="1"/>
  <c r="G155" i="42" s="1"/>
  <c r="H155" i="42" s="1"/>
  <c r="I155" i="42" s="1"/>
  <c r="J155" i="42" s="1"/>
  <c r="K155" i="42" s="1"/>
  <c r="E156" i="42"/>
  <c r="F156" i="42" s="1"/>
  <c r="G156" i="42" s="1"/>
  <c r="H156" i="42" s="1"/>
  <c r="I156" i="42" s="1"/>
  <c r="J156" i="42" s="1"/>
  <c r="K156" i="42" s="1"/>
  <c r="E3" i="42"/>
  <c r="F3" i="42" s="1"/>
  <c r="G3" i="42" s="1"/>
  <c r="H3" i="42" s="1"/>
  <c r="I3" i="42" s="1"/>
  <c r="J3" i="42" s="1"/>
  <c r="K3" i="42" s="1"/>
  <c r="E9" i="42"/>
  <c r="F9" i="42" s="1"/>
  <c r="G9" i="42" s="1"/>
  <c r="H9" i="42" s="1"/>
  <c r="I9" i="42" s="1"/>
  <c r="J9" i="42" s="1"/>
  <c r="K9" i="42" s="1"/>
  <c r="E268" i="42"/>
  <c r="F268" i="42" s="1"/>
  <c r="G268" i="42" s="1"/>
  <c r="H268" i="42" s="1"/>
  <c r="I268" i="42" s="1"/>
  <c r="J268" i="42" s="1"/>
  <c r="K268" i="42" s="1"/>
  <c r="E269" i="42"/>
  <c r="F269" i="42" s="1"/>
  <c r="G269" i="42" s="1"/>
  <c r="H269" i="42" s="1"/>
  <c r="I269" i="42" s="1"/>
  <c r="J269" i="42" s="1"/>
  <c r="K269" i="42" s="1"/>
  <c r="E44" i="42"/>
  <c r="F44" i="42" s="1"/>
  <c r="G44" i="42" s="1"/>
  <c r="H44" i="42" s="1"/>
  <c r="I44" i="42" s="1"/>
  <c r="J44" i="42" s="1"/>
  <c r="K44" i="42" s="1"/>
  <c r="E37" i="42"/>
  <c r="F37" i="42" s="1"/>
  <c r="G37" i="42" s="1"/>
  <c r="H37" i="42" s="1"/>
  <c r="I37" i="42" s="1"/>
  <c r="J37" i="42" s="1"/>
  <c r="K37" i="42" s="1"/>
  <c r="E184" i="42"/>
  <c r="F184" i="42" s="1"/>
  <c r="G184" i="42" s="1"/>
  <c r="H184" i="42" s="1"/>
  <c r="I184" i="42" s="1"/>
  <c r="J184" i="42" s="1"/>
  <c r="K184" i="42" s="1"/>
  <c r="E146" i="42"/>
  <c r="F146" i="42" s="1"/>
  <c r="G146" i="42" s="1"/>
  <c r="H146" i="42" s="1"/>
  <c r="I146" i="42" s="1"/>
  <c r="J146" i="42" s="1"/>
  <c r="K146" i="42" s="1"/>
  <c r="E58" i="42"/>
  <c r="F58" i="42" s="1"/>
  <c r="G58" i="42" s="1"/>
  <c r="H58" i="42" s="1"/>
  <c r="I58" i="42" s="1"/>
  <c r="J58" i="42" s="1"/>
  <c r="K58" i="42" s="1"/>
  <c r="E6" i="42"/>
  <c r="F6" i="42" s="1"/>
  <c r="G6" i="42" s="1"/>
  <c r="H6" i="42" s="1"/>
  <c r="I6" i="42" s="1"/>
  <c r="J6" i="42" s="1"/>
  <c r="K6" i="42" s="1"/>
  <c r="E270" i="42"/>
  <c r="F270" i="42" s="1"/>
  <c r="G270" i="42" s="1"/>
  <c r="H270" i="42" s="1"/>
  <c r="I270" i="42" s="1"/>
  <c r="J270" i="42" s="1"/>
  <c r="K270" i="42" s="1"/>
  <c r="E54" i="42"/>
  <c r="F54" i="42" s="1"/>
  <c r="G54" i="42" s="1"/>
  <c r="H54" i="42" s="1"/>
  <c r="I54" i="42" s="1"/>
  <c r="J54" i="42" s="1"/>
  <c r="K54" i="42" s="1"/>
  <c r="E45" i="42"/>
  <c r="F45" i="42" s="1"/>
  <c r="G45" i="42" s="1"/>
  <c r="H45" i="42" s="1"/>
  <c r="I45" i="42" s="1"/>
  <c r="J45" i="42" s="1"/>
  <c r="K45" i="42" s="1"/>
  <c r="E15" i="42"/>
  <c r="F15" i="42" s="1"/>
  <c r="G15" i="42" s="1"/>
  <c r="H15" i="42" s="1"/>
  <c r="I15" i="42" s="1"/>
  <c r="J15" i="42" s="1"/>
  <c r="K15" i="42" s="1"/>
  <c r="E215" i="42"/>
  <c r="F215" i="42" s="1"/>
  <c r="G215" i="42" s="1"/>
  <c r="H215" i="42" s="1"/>
  <c r="I215" i="42" s="1"/>
  <c r="J215" i="42" s="1"/>
  <c r="K215" i="42" s="1"/>
  <c r="E130" i="42"/>
  <c r="F130" i="42" s="1"/>
  <c r="G130" i="42" s="1"/>
  <c r="H130" i="42" s="1"/>
  <c r="I130" i="42" s="1"/>
  <c r="J130" i="42" s="1"/>
  <c r="K130" i="42" s="1"/>
  <c r="E46" i="42"/>
  <c r="F46" i="42" s="1"/>
  <c r="G46" i="42" s="1"/>
  <c r="H46" i="42" s="1"/>
  <c r="I46" i="42" s="1"/>
  <c r="J46" i="42" s="1"/>
  <c r="K46" i="42" s="1"/>
  <c r="E12" i="42"/>
  <c r="F12" i="42" s="1"/>
  <c r="G12" i="42" s="1"/>
  <c r="H12" i="42" s="1"/>
  <c r="I12" i="42" s="1"/>
  <c r="J12" i="42" s="1"/>
  <c r="K12" i="42" s="1"/>
  <c r="E185" i="42"/>
  <c r="F185" i="42" s="1"/>
  <c r="G185" i="42" s="1"/>
  <c r="H185" i="42" s="1"/>
  <c r="I185" i="42" s="1"/>
  <c r="J185" i="42" s="1"/>
  <c r="K185" i="42" s="1"/>
  <c r="E103" i="42"/>
  <c r="F103" i="42" s="1"/>
  <c r="G103" i="42" s="1"/>
  <c r="H103" i="42" s="1"/>
  <c r="I103" i="42" s="1"/>
  <c r="J103" i="42" s="1"/>
  <c r="K103" i="42" s="1"/>
  <c r="E47" i="42"/>
  <c r="F47" i="42" s="1"/>
  <c r="G47" i="42" s="1"/>
  <c r="H47" i="42" s="1"/>
  <c r="I47" i="42" s="1"/>
  <c r="J47" i="42" s="1"/>
  <c r="K47" i="42" s="1"/>
  <c r="E11" i="42"/>
  <c r="F11" i="42" s="1"/>
  <c r="G11" i="42" s="1"/>
  <c r="H11" i="42" s="1"/>
  <c r="I11" i="42" s="1"/>
  <c r="J11" i="42" s="1"/>
  <c r="K11" i="42" s="1"/>
  <c r="E198" i="42"/>
  <c r="F198" i="42" s="1"/>
  <c r="G198" i="42" s="1"/>
  <c r="H198" i="42" s="1"/>
  <c r="I198" i="42" s="1"/>
  <c r="J198" i="42" s="1"/>
  <c r="K198" i="42" s="1"/>
  <c r="E55" i="42"/>
  <c r="F55" i="42" s="1"/>
  <c r="G55" i="42" s="1"/>
  <c r="H55" i="42" s="1"/>
  <c r="I55" i="42" s="1"/>
  <c r="J55" i="42" s="1"/>
  <c r="K55" i="42" s="1"/>
  <c r="E48" i="42"/>
  <c r="F48" i="42" s="1"/>
  <c r="G48" i="42" s="1"/>
  <c r="H48" i="42" s="1"/>
  <c r="I48" i="42" s="1"/>
  <c r="J48" i="42" s="1"/>
  <c r="K48" i="42" s="1"/>
  <c r="E16" i="42"/>
  <c r="F16" i="42" s="1"/>
  <c r="G16" i="42" s="1"/>
  <c r="H16" i="42" s="1"/>
  <c r="I16" i="42" s="1"/>
  <c r="J16" i="42" s="1"/>
  <c r="K16" i="42" s="1"/>
  <c r="E216" i="42"/>
  <c r="F216" i="42" s="1"/>
  <c r="G216" i="42" s="1"/>
  <c r="H216" i="42" s="1"/>
  <c r="I216" i="42" s="1"/>
  <c r="J216" i="42" s="1"/>
  <c r="K216" i="42" s="1"/>
  <c r="E271" i="42"/>
  <c r="F271" i="42" s="1"/>
  <c r="G271" i="42" s="1"/>
  <c r="H271" i="42" s="1"/>
  <c r="I271" i="42" s="1"/>
  <c r="J271" i="42" s="1"/>
  <c r="K271" i="42" s="1"/>
  <c r="E221" i="42"/>
  <c r="F221" i="42" s="1"/>
  <c r="G221" i="42" s="1"/>
  <c r="H221" i="42" s="1"/>
  <c r="I221" i="42" s="1"/>
  <c r="J221" i="42" s="1"/>
  <c r="K221" i="42" s="1"/>
  <c r="E121" i="42"/>
  <c r="F121" i="42" s="1"/>
  <c r="G121" i="42" s="1"/>
  <c r="H121" i="42" s="1"/>
  <c r="I121" i="42" s="1"/>
  <c r="J121" i="42" s="1"/>
  <c r="K121" i="42" s="1"/>
  <c r="E272" i="42"/>
  <c r="F272" i="42" s="1"/>
  <c r="G272" i="42" s="1"/>
  <c r="H272" i="42" s="1"/>
  <c r="I272" i="42" s="1"/>
  <c r="J272" i="42" s="1"/>
  <c r="K272" i="42" s="1"/>
  <c r="E273" i="42"/>
  <c r="F273" i="42" s="1"/>
  <c r="G273" i="42" s="1"/>
  <c r="H273" i="42" s="1"/>
  <c r="I273" i="42" s="1"/>
  <c r="J273" i="42" s="1"/>
  <c r="K273" i="42" s="1"/>
  <c r="E75" i="42"/>
  <c r="F75" i="42" s="1"/>
  <c r="G75" i="42" s="1"/>
  <c r="H75" i="42" s="1"/>
  <c r="I75" i="42" s="1"/>
  <c r="J75" i="42" s="1"/>
  <c r="K75" i="42" s="1"/>
  <c r="E274" i="42"/>
  <c r="F274" i="42" s="1"/>
  <c r="G274" i="42" s="1"/>
  <c r="H274" i="42" s="1"/>
  <c r="I274" i="42" s="1"/>
  <c r="J274" i="42" s="1"/>
  <c r="K274" i="42" s="1"/>
  <c r="E203" i="42"/>
  <c r="F203" i="42" s="1"/>
  <c r="G203" i="42" s="1"/>
  <c r="H203" i="42" s="1"/>
  <c r="I203" i="42" s="1"/>
  <c r="J203" i="42" s="1"/>
  <c r="K203" i="42" s="1"/>
  <c r="E204" i="42"/>
  <c r="F204" i="42" s="1"/>
  <c r="G204" i="42" s="1"/>
  <c r="H204" i="42" s="1"/>
  <c r="I204" i="42" s="1"/>
  <c r="J204" i="42" s="1"/>
  <c r="K204" i="42" s="1"/>
  <c r="E205" i="42"/>
  <c r="F205" i="42" s="1"/>
  <c r="G205" i="42" s="1"/>
  <c r="H205" i="42" s="1"/>
  <c r="I205" i="42" s="1"/>
  <c r="J205" i="42" s="1"/>
  <c r="K205" i="42" s="1"/>
  <c r="E84" i="42"/>
  <c r="F84" i="42" s="1"/>
  <c r="G84" i="42" s="1"/>
  <c r="H84" i="42" s="1"/>
  <c r="I84" i="42" s="1"/>
  <c r="J84" i="42" s="1"/>
  <c r="K84" i="42" s="1"/>
  <c r="E275" i="42"/>
  <c r="F275" i="42" s="1"/>
  <c r="G275" i="42" s="1"/>
  <c r="H275" i="42" s="1"/>
  <c r="I275" i="42" s="1"/>
  <c r="J275" i="42" s="1"/>
  <c r="K275" i="42" s="1"/>
  <c r="E222" i="42"/>
  <c r="F222" i="42" s="1"/>
  <c r="G222" i="42" s="1"/>
  <c r="H222" i="42" s="1"/>
  <c r="I222" i="42" s="1"/>
  <c r="J222" i="42" s="1"/>
  <c r="K222" i="42" s="1"/>
  <c r="E137" i="42"/>
  <c r="F137" i="42" s="1"/>
  <c r="G137" i="42" s="1"/>
  <c r="H137" i="42" s="1"/>
  <c r="I137" i="42" s="1"/>
  <c r="J137" i="42" s="1"/>
  <c r="K137" i="42" s="1"/>
  <c r="E276" i="42"/>
  <c r="F276" i="42" s="1"/>
  <c r="G276" i="42" s="1"/>
  <c r="H276" i="42" s="1"/>
  <c r="I276" i="42" s="1"/>
  <c r="J276" i="42" s="1"/>
  <c r="K276" i="42" s="1"/>
  <c r="E206" i="42"/>
  <c r="F206" i="42" s="1"/>
  <c r="G206" i="42" s="1"/>
  <c r="H206" i="42" s="1"/>
  <c r="I206" i="42" s="1"/>
  <c r="J206" i="42" s="1"/>
  <c r="K206" i="42" s="1"/>
  <c r="E207" i="42"/>
  <c r="F207" i="42" s="1"/>
  <c r="G207" i="42" s="1"/>
  <c r="H207" i="42" s="1"/>
  <c r="I207" i="42" s="1"/>
  <c r="J207" i="42" s="1"/>
  <c r="K207" i="42" s="1"/>
  <c r="E21" i="42"/>
  <c r="F21" i="42" s="1"/>
  <c r="G21" i="42" s="1"/>
  <c r="H21" i="42" s="1"/>
  <c r="I21" i="42" s="1"/>
  <c r="J21" i="42" s="1"/>
  <c r="K21" i="42" s="1"/>
  <c r="E72" i="42"/>
  <c r="F72" i="42" s="1"/>
  <c r="G72" i="42" s="1"/>
  <c r="H72" i="42" s="1"/>
  <c r="I72" i="42" s="1"/>
  <c r="J72" i="42" s="1"/>
  <c r="K72" i="42" s="1"/>
  <c r="E277" i="42"/>
  <c r="F277" i="42" s="1"/>
  <c r="G277" i="42" s="1"/>
  <c r="H277" i="42" s="1"/>
  <c r="I277" i="42" s="1"/>
  <c r="J277" i="42" s="1"/>
  <c r="K277" i="42" s="1"/>
  <c r="E278" i="42"/>
  <c r="F278" i="42" s="1"/>
  <c r="G278" i="42" s="1"/>
  <c r="H278" i="42" s="1"/>
  <c r="I278" i="42" s="1"/>
  <c r="J278" i="42" s="1"/>
  <c r="K278" i="42" s="1"/>
  <c r="E223" i="42"/>
  <c r="F223" i="42" s="1"/>
  <c r="G223" i="42" s="1"/>
  <c r="H223" i="42" s="1"/>
  <c r="I223" i="42" s="1"/>
  <c r="J223" i="42" s="1"/>
  <c r="K223" i="42" s="1"/>
  <c r="E181" i="42"/>
  <c r="F181" i="42" s="1"/>
  <c r="G181" i="42" s="1"/>
  <c r="H181" i="42" s="1"/>
  <c r="I181" i="42" s="1"/>
  <c r="J181" i="42" s="1"/>
  <c r="K181" i="42" s="1"/>
  <c r="E279" i="42"/>
  <c r="F279" i="42" s="1"/>
  <c r="G279" i="42" s="1"/>
  <c r="H279" i="42" s="1"/>
  <c r="I279" i="42" s="1"/>
  <c r="J279" i="42" s="1"/>
  <c r="K279" i="42" s="1"/>
  <c r="E280" i="42"/>
  <c r="F280" i="42" s="1"/>
  <c r="G280" i="42" s="1"/>
  <c r="H280" i="42" s="1"/>
  <c r="I280" i="42" s="1"/>
  <c r="J280" i="42" s="1"/>
  <c r="K280" i="42" s="1"/>
  <c r="E224" i="42"/>
  <c r="F224" i="42" s="1"/>
  <c r="G224" i="42" s="1"/>
  <c r="H224" i="42" s="1"/>
  <c r="I224" i="42" s="1"/>
  <c r="J224" i="42" s="1"/>
  <c r="K224" i="42" s="1"/>
  <c r="E111" i="42"/>
  <c r="F111" i="42" s="1"/>
  <c r="G111" i="42" s="1"/>
  <c r="H111" i="42" s="1"/>
  <c r="I111" i="42" s="1"/>
  <c r="J111" i="42" s="1"/>
  <c r="K111" i="42" s="1"/>
  <c r="E281" i="42"/>
  <c r="F281" i="42" s="1"/>
  <c r="G281" i="42" s="1"/>
  <c r="H281" i="42" s="1"/>
  <c r="I281" i="42" s="1"/>
  <c r="J281" i="42" s="1"/>
  <c r="K281" i="42" s="1"/>
  <c r="E282" i="42"/>
  <c r="F282" i="42" s="1"/>
  <c r="G282" i="42" s="1"/>
  <c r="H282" i="42" s="1"/>
  <c r="I282" i="42" s="1"/>
  <c r="J282" i="42" s="1"/>
  <c r="K282" i="42" s="1"/>
  <c r="E225" i="42"/>
  <c r="F225" i="42" s="1"/>
  <c r="G225" i="42" s="1"/>
  <c r="H225" i="42" s="1"/>
  <c r="I225" i="42" s="1"/>
  <c r="J225" i="42" s="1"/>
  <c r="K225" i="42" s="1"/>
  <c r="E117" i="42"/>
  <c r="F117" i="42" s="1"/>
  <c r="G117" i="42" s="1"/>
  <c r="H117" i="42" s="1"/>
  <c r="I117" i="42" s="1"/>
  <c r="J117" i="42" s="1"/>
  <c r="K117" i="42" s="1"/>
  <c r="E283" i="42"/>
  <c r="F283" i="42" s="1"/>
  <c r="G283" i="42" s="1"/>
  <c r="H283" i="42" s="1"/>
  <c r="I283" i="42" s="1"/>
  <c r="J283" i="42" s="1"/>
  <c r="K283" i="42" s="1"/>
  <c r="E226" i="42"/>
  <c r="F226" i="42" s="1"/>
  <c r="G226" i="42" s="1"/>
  <c r="H226" i="42" s="1"/>
  <c r="I226" i="42" s="1"/>
  <c r="J226" i="42" s="1"/>
  <c r="K226" i="42" s="1"/>
  <c r="E98" i="42"/>
  <c r="F98" i="42" s="1"/>
  <c r="G98" i="42" s="1"/>
  <c r="H98" i="42" s="1"/>
  <c r="I98" i="42" s="1"/>
  <c r="J98" i="42" s="1"/>
  <c r="K98" i="42" s="1"/>
  <c r="E284" i="42"/>
  <c r="F284" i="42" s="1"/>
  <c r="G284" i="42" s="1"/>
  <c r="H284" i="42" s="1"/>
  <c r="I284" i="42" s="1"/>
  <c r="J284" i="42" s="1"/>
  <c r="K284" i="42" s="1"/>
  <c r="E227" i="42"/>
  <c r="F227" i="42" s="1"/>
  <c r="G227" i="42" s="1"/>
  <c r="H227" i="42" s="1"/>
  <c r="I227" i="42" s="1"/>
  <c r="J227" i="42" s="1"/>
  <c r="K227" i="42" s="1"/>
  <c r="E112" i="42"/>
  <c r="F112" i="42" s="1"/>
  <c r="G112" i="42" s="1"/>
  <c r="H112" i="42" s="1"/>
  <c r="I112" i="42" s="1"/>
  <c r="J112" i="42" s="1"/>
  <c r="K112" i="42" s="1"/>
  <c r="E285" i="42"/>
  <c r="F285" i="42" s="1"/>
  <c r="G285" i="42" s="1"/>
  <c r="H285" i="42" s="1"/>
  <c r="I285" i="42" s="1"/>
  <c r="J285" i="42" s="1"/>
  <c r="K285" i="42" s="1"/>
  <c r="E286" i="42"/>
  <c r="F286" i="42" s="1"/>
  <c r="G286" i="42" s="1"/>
  <c r="H286" i="42" s="1"/>
  <c r="I286" i="42" s="1"/>
  <c r="J286" i="42" s="1"/>
  <c r="K286" i="42" s="1"/>
  <c r="E228" i="42"/>
  <c r="F228" i="42" s="1"/>
  <c r="G228" i="42" s="1"/>
  <c r="H228" i="42" s="1"/>
  <c r="I228" i="42" s="1"/>
  <c r="J228" i="42" s="1"/>
  <c r="K228" i="42" s="1"/>
  <c r="E122" i="42"/>
  <c r="F122" i="42" s="1"/>
  <c r="G122" i="42" s="1"/>
  <c r="H122" i="42" s="1"/>
  <c r="I122" i="42" s="1"/>
  <c r="J122" i="42" s="1"/>
  <c r="K122" i="42" s="1"/>
  <c r="E287" i="42"/>
  <c r="F287" i="42" s="1"/>
  <c r="G287" i="42" s="1"/>
  <c r="H287" i="42" s="1"/>
  <c r="I287" i="42" s="1"/>
  <c r="J287" i="42" s="1"/>
  <c r="K287" i="42" s="1"/>
  <c r="E288" i="42"/>
  <c r="F288" i="42" s="1"/>
  <c r="G288" i="42" s="1"/>
  <c r="H288" i="42" s="1"/>
  <c r="I288" i="42" s="1"/>
  <c r="J288" i="42" s="1"/>
  <c r="K288" i="42" s="1"/>
  <c r="E76" i="42"/>
  <c r="F76" i="42" s="1"/>
  <c r="G76" i="42" s="1"/>
  <c r="H76" i="42" s="1"/>
  <c r="I76" i="42" s="1"/>
  <c r="J76" i="42" s="1"/>
  <c r="K76" i="42" s="1"/>
  <c r="E289" i="42"/>
  <c r="F289" i="42" s="1"/>
  <c r="G289" i="42" s="1"/>
  <c r="H289" i="42" s="1"/>
  <c r="I289" i="42" s="1"/>
  <c r="J289" i="42" s="1"/>
  <c r="K289" i="42" s="1"/>
  <c r="E208" i="42"/>
  <c r="F208" i="42" s="1"/>
  <c r="G208" i="42" s="1"/>
  <c r="H208" i="42" s="1"/>
  <c r="I208" i="42" s="1"/>
  <c r="J208" i="42" s="1"/>
  <c r="K208" i="42" s="1"/>
  <c r="E209" i="42"/>
  <c r="F209" i="42" s="1"/>
  <c r="G209" i="42" s="1"/>
  <c r="H209" i="42" s="1"/>
  <c r="I209" i="42" s="1"/>
  <c r="J209" i="42" s="1"/>
  <c r="K209" i="42" s="1"/>
  <c r="E210" i="42"/>
  <c r="F210" i="42" s="1"/>
  <c r="G210" i="42" s="1"/>
  <c r="H210" i="42" s="1"/>
  <c r="I210" i="42" s="1"/>
  <c r="J210" i="42" s="1"/>
  <c r="K210" i="42" s="1"/>
  <c r="E85" i="42"/>
  <c r="F85" i="42" s="1"/>
  <c r="G85" i="42" s="1"/>
  <c r="H85" i="42" s="1"/>
  <c r="I85" i="42" s="1"/>
  <c r="J85" i="42" s="1"/>
  <c r="K85" i="42" s="1"/>
  <c r="E290" i="42"/>
  <c r="F290" i="42" s="1"/>
  <c r="G290" i="42" s="1"/>
  <c r="H290" i="42" s="1"/>
  <c r="I290" i="42" s="1"/>
  <c r="J290" i="42" s="1"/>
  <c r="K290" i="42" s="1"/>
  <c r="E229" i="42"/>
  <c r="F229" i="42" s="1"/>
  <c r="G229" i="42" s="1"/>
  <c r="H229" i="42" s="1"/>
  <c r="I229" i="42" s="1"/>
  <c r="J229" i="42" s="1"/>
  <c r="K229" i="42" s="1"/>
  <c r="E138" i="42"/>
  <c r="F138" i="42" s="1"/>
  <c r="G138" i="42" s="1"/>
  <c r="H138" i="42" s="1"/>
  <c r="I138" i="42" s="1"/>
  <c r="J138" i="42" s="1"/>
  <c r="K138" i="42" s="1"/>
  <c r="E291" i="42"/>
  <c r="F291" i="42" s="1"/>
  <c r="G291" i="42" s="1"/>
  <c r="H291" i="42" s="1"/>
  <c r="I291" i="42" s="1"/>
  <c r="J291" i="42" s="1"/>
  <c r="K291" i="42" s="1"/>
  <c r="E211" i="42"/>
  <c r="F211" i="42" s="1"/>
  <c r="G211" i="42" s="1"/>
  <c r="H211" i="42" s="1"/>
  <c r="I211" i="42" s="1"/>
  <c r="J211" i="42" s="1"/>
  <c r="K211" i="42" s="1"/>
  <c r="E212" i="42"/>
  <c r="F212" i="42" s="1"/>
  <c r="G212" i="42" s="1"/>
  <c r="H212" i="42" s="1"/>
  <c r="I212" i="42" s="1"/>
  <c r="J212" i="42" s="1"/>
  <c r="K212" i="42" s="1"/>
  <c r="E22" i="42"/>
  <c r="F22" i="42" s="1"/>
  <c r="G22" i="42" s="1"/>
  <c r="H22" i="42" s="1"/>
  <c r="I22" i="42" s="1"/>
  <c r="J22" i="42" s="1"/>
  <c r="K22" i="42" s="1"/>
  <c r="E73" i="42"/>
  <c r="F73" i="42" s="1"/>
  <c r="G73" i="42" s="1"/>
  <c r="H73" i="42" s="1"/>
  <c r="I73" i="42" s="1"/>
  <c r="J73" i="42" s="1"/>
  <c r="K73" i="42" s="1"/>
  <c r="E292" i="42"/>
  <c r="F292" i="42" s="1"/>
  <c r="G292" i="42" s="1"/>
  <c r="H292" i="42" s="1"/>
  <c r="I292" i="42" s="1"/>
  <c r="J292" i="42" s="1"/>
  <c r="E173" i="42"/>
  <c r="F173" i="42" s="1"/>
  <c r="G173" i="42" s="1"/>
  <c r="E104" i="42"/>
  <c r="F104" i="42" s="1"/>
  <c r="G104" i="42" s="1"/>
  <c r="E53" i="42"/>
  <c r="F53" i="42" s="1"/>
  <c r="G53" i="42" s="1"/>
  <c r="E293" i="42"/>
  <c r="F293" i="42" s="1"/>
  <c r="G293" i="42" s="1"/>
  <c r="E294" i="42"/>
  <c r="F294" i="42" s="1"/>
  <c r="G294" i="42" s="1"/>
  <c r="E30" i="42"/>
  <c r="F30" i="42" s="1"/>
  <c r="G30" i="42" s="1"/>
  <c r="E295" i="42"/>
  <c r="F295" i="42" s="1"/>
  <c r="G295" i="42" s="1"/>
  <c r="E176" i="42"/>
  <c r="F176" i="42" s="1"/>
  <c r="G176" i="42" s="1"/>
  <c r="E177" i="42"/>
  <c r="F177" i="42" s="1"/>
  <c r="G177" i="42" s="1"/>
  <c r="E178" i="42"/>
  <c r="F178" i="42" s="1"/>
  <c r="G178" i="42" s="1"/>
  <c r="E86" i="42"/>
  <c r="F86" i="42" s="1"/>
  <c r="G86" i="42" s="1"/>
  <c r="E238" i="42"/>
  <c r="F238" i="42" s="1"/>
  <c r="G238" i="42" s="1"/>
  <c r="E105" i="42"/>
  <c r="F105" i="42" s="1"/>
  <c r="G105" i="42" s="1"/>
  <c r="E60" i="42"/>
  <c r="F60" i="42" s="1"/>
  <c r="G60" i="42" s="1"/>
  <c r="E296" i="42"/>
  <c r="F296" i="42" s="1"/>
  <c r="G296" i="42" s="1"/>
  <c r="E179" i="42"/>
  <c r="F179" i="42" s="1"/>
  <c r="G179" i="42" s="1"/>
  <c r="E180" i="42"/>
  <c r="F180" i="42" s="1"/>
  <c r="G180" i="42" s="1"/>
  <c r="E18" i="42"/>
  <c r="F18" i="42" s="1"/>
  <c r="G18" i="42" s="1"/>
  <c r="E28" i="42"/>
  <c r="F28" i="42" s="1"/>
  <c r="G28" i="42" s="1"/>
  <c r="E297" i="42"/>
  <c r="F297" i="42" s="1"/>
  <c r="G297" i="42" s="1"/>
  <c r="E298" i="42"/>
  <c r="F298" i="42" s="1"/>
  <c r="G298" i="42" s="1"/>
  <c r="E106" i="42"/>
  <c r="F106" i="42" s="1"/>
  <c r="G106" i="42" s="1"/>
  <c r="E175" i="42"/>
  <c r="F175" i="42" s="1"/>
  <c r="G175" i="42" s="1"/>
  <c r="E231" i="42"/>
  <c r="F231" i="42" s="1"/>
  <c r="G231" i="42" s="1"/>
  <c r="E167" i="42"/>
  <c r="F167" i="42" s="1"/>
  <c r="G167" i="42" s="1"/>
  <c r="E107" i="42"/>
  <c r="F107" i="42" s="1"/>
  <c r="G107" i="42" s="1"/>
  <c r="E89" i="42"/>
  <c r="F89" i="42" s="1"/>
  <c r="G89" i="42" s="1"/>
  <c r="E299" i="42"/>
  <c r="F299" i="42" s="1"/>
  <c r="G299" i="42" s="1"/>
  <c r="E199" i="42"/>
  <c r="F199" i="42" s="1"/>
  <c r="G199" i="42" s="1"/>
  <c r="E108" i="42"/>
  <c r="F108" i="42" s="1"/>
  <c r="G108" i="42" s="1"/>
  <c r="E116" i="42"/>
  <c r="F116" i="42" s="1"/>
  <c r="G116" i="42" s="1"/>
  <c r="E232" i="42"/>
  <c r="F232" i="42" s="1"/>
  <c r="G232" i="42" s="1"/>
  <c r="E186" i="42"/>
  <c r="F186" i="42" s="1"/>
  <c r="G186" i="42" s="1"/>
  <c r="E109" i="42"/>
  <c r="F109" i="42" s="1"/>
  <c r="G109" i="42" s="1"/>
  <c r="E74" i="42"/>
  <c r="F74" i="42" s="1"/>
  <c r="G74" i="42" s="1"/>
  <c r="E300" i="42"/>
  <c r="F300" i="42" s="1"/>
  <c r="G300" i="42" s="1"/>
  <c r="E168" i="42"/>
  <c r="F168" i="42" s="1"/>
  <c r="G168" i="42" s="1"/>
  <c r="E110" i="42"/>
  <c r="F110" i="42" s="1"/>
  <c r="G110" i="42" s="1"/>
  <c r="E90" i="42"/>
  <c r="F90" i="42" s="1"/>
  <c r="G90" i="42" s="1"/>
  <c r="E301" i="42"/>
  <c r="F301" i="42" s="1"/>
  <c r="G301" i="42" s="1"/>
  <c r="E197" i="42"/>
  <c r="F197" i="42" s="1"/>
  <c r="G197" i="42" s="1"/>
  <c r="H197" i="42" s="1"/>
  <c r="I197" i="42" s="1"/>
  <c r="J197" i="42" s="1"/>
  <c r="E159" i="42"/>
  <c r="F159" i="42" s="1"/>
  <c r="G159" i="42" s="1"/>
  <c r="H159" i="42" s="1"/>
  <c r="I159" i="42" s="1"/>
  <c r="J159" i="42" s="1"/>
  <c r="E87" i="42"/>
  <c r="F87" i="42" s="1"/>
  <c r="G87" i="42" s="1"/>
  <c r="H87" i="42" s="1"/>
  <c r="I87" i="42" s="1"/>
  <c r="J87" i="42" s="1"/>
  <c r="E302" i="42"/>
  <c r="F302" i="42" s="1"/>
  <c r="G302" i="42" s="1"/>
  <c r="H302" i="42" s="1"/>
  <c r="I302" i="42" s="1"/>
  <c r="J302" i="42" s="1"/>
  <c r="E303" i="42"/>
  <c r="F303" i="42" s="1"/>
  <c r="G303" i="42" s="1"/>
  <c r="H303" i="42" s="1"/>
  <c r="I303" i="42" s="1"/>
  <c r="J303" i="42" s="1"/>
  <c r="E41" i="42"/>
  <c r="F41" i="42" s="1"/>
  <c r="G41" i="42" s="1"/>
  <c r="H41" i="42" s="1"/>
  <c r="I41" i="42" s="1"/>
  <c r="J41" i="42" s="1"/>
  <c r="E304" i="42"/>
  <c r="F304" i="42" s="1"/>
  <c r="G304" i="42" s="1"/>
  <c r="H304" i="42" s="1"/>
  <c r="I304" i="42" s="1"/>
  <c r="J304" i="42" s="1"/>
  <c r="E187" i="42"/>
  <c r="F187" i="42" s="1"/>
  <c r="G187" i="42" s="1"/>
  <c r="H187" i="42" s="1"/>
  <c r="I187" i="42" s="1"/>
  <c r="J187" i="42" s="1"/>
  <c r="E188" i="42"/>
  <c r="F188" i="42" s="1"/>
  <c r="G188" i="42" s="1"/>
  <c r="H188" i="42" s="1"/>
  <c r="I188" i="42" s="1"/>
  <c r="J188" i="42" s="1"/>
  <c r="E189" i="42"/>
  <c r="F189" i="42" s="1"/>
  <c r="G189" i="42" s="1"/>
  <c r="H189" i="42" s="1"/>
  <c r="I189" i="42" s="1"/>
  <c r="J189" i="42" s="1"/>
  <c r="E88" i="42"/>
  <c r="F88" i="42" s="1"/>
  <c r="G88" i="42" s="1"/>
  <c r="H88" i="42" s="1"/>
  <c r="I88" i="42" s="1"/>
  <c r="J88" i="42" s="1"/>
  <c r="E245" i="42"/>
  <c r="F245" i="42" s="1"/>
  <c r="G245" i="42" s="1"/>
  <c r="H245" i="42" s="1"/>
  <c r="I245" i="42" s="1"/>
  <c r="J245" i="42" s="1"/>
  <c r="E160" i="42"/>
  <c r="F160" i="42" s="1"/>
  <c r="G160" i="42" s="1"/>
  <c r="H160" i="42" s="1"/>
  <c r="I160" i="42" s="1"/>
  <c r="J160" i="42" s="1"/>
  <c r="E101" i="42"/>
  <c r="F101" i="42" s="1"/>
  <c r="G101" i="42" s="1"/>
  <c r="H101" i="42" s="1"/>
  <c r="I101" i="42" s="1"/>
  <c r="J101" i="42" s="1"/>
  <c r="E305" i="42"/>
  <c r="F305" i="42" s="1"/>
  <c r="G305" i="42" s="1"/>
  <c r="H305" i="42" s="1"/>
  <c r="I305" i="42" s="1"/>
  <c r="J305" i="42" s="1"/>
  <c r="E190" i="42"/>
  <c r="F190" i="42" s="1"/>
  <c r="G190" i="42" s="1"/>
  <c r="H190" i="42" s="1"/>
  <c r="I190" i="42" s="1"/>
  <c r="J190" i="42" s="1"/>
  <c r="E191" i="42"/>
  <c r="F191" i="42" s="1"/>
  <c r="G191" i="42" s="1"/>
  <c r="H191" i="42" s="1"/>
  <c r="I191" i="42" s="1"/>
  <c r="J191" i="42" s="1"/>
  <c r="E23" i="42"/>
  <c r="F23" i="42" s="1"/>
  <c r="G23" i="42" s="1"/>
  <c r="H23" i="42" s="1"/>
  <c r="I23" i="42" s="1"/>
  <c r="J23" i="42" s="1"/>
  <c r="E32" i="42"/>
  <c r="F32" i="42" s="1"/>
  <c r="G32" i="42" s="1"/>
  <c r="H32" i="42" s="1"/>
  <c r="I32" i="42" s="1"/>
  <c r="J32" i="42" s="1"/>
  <c r="E306" i="42"/>
  <c r="F306" i="42" s="1"/>
  <c r="G306" i="42" s="1"/>
  <c r="H306" i="42" s="1"/>
  <c r="I306" i="42" s="1"/>
  <c r="J306" i="42" s="1"/>
  <c r="E307" i="42"/>
  <c r="F307" i="42" s="1"/>
  <c r="G307" i="42" s="1"/>
  <c r="H307" i="42" s="1"/>
  <c r="I307" i="42" s="1"/>
  <c r="J307" i="42" s="1"/>
  <c r="E161" i="42"/>
  <c r="F161" i="42" s="1"/>
  <c r="G161" i="42" s="1"/>
  <c r="H161" i="42" s="1"/>
  <c r="I161" i="42" s="1"/>
  <c r="J161" i="42" s="1"/>
  <c r="E182" i="42"/>
  <c r="F182" i="42" s="1"/>
  <c r="G182" i="42" s="1"/>
  <c r="H182" i="42" s="1"/>
  <c r="I182" i="42" s="1"/>
  <c r="J182" i="42" s="1"/>
  <c r="E308" i="42"/>
  <c r="F308" i="42" s="1"/>
  <c r="G308" i="42" s="1"/>
  <c r="H308" i="42" s="1"/>
  <c r="I308" i="42" s="1"/>
  <c r="J308" i="42" s="1"/>
  <c r="E309" i="42"/>
  <c r="F309" i="42" s="1"/>
  <c r="G309" i="42" s="1"/>
  <c r="H309" i="42" s="1"/>
  <c r="I309" i="42" s="1"/>
  <c r="J309" i="42" s="1"/>
  <c r="E171" i="42"/>
  <c r="F171" i="42" s="1"/>
  <c r="G171" i="42" s="1"/>
  <c r="H171" i="42" s="1"/>
  <c r="I171" i="42" s="1"/>
  <c r="J171" i="42" s="1"/>
  <c r="E162" i="42"/>
  <c r="F162" i="42" s="1"/>
  <c r="G162" i="42" s="1"/>
  <c r="H162" i="42" s="1"/>
  <c r="I162" i="42" s="1"/>
  <c r="J162" i="42" s="1"/>
  <c r="E113" i="42"/>
  <c r="F113" i="42" s="1"/>
  <c r="G113" i="42" s="1"/>
  <c r="H113" i="42" s="1"/>
  <c r="I113" i="42" s="1"/>
  <c r="J113" i="42" s="1"/>
  <c r="E310" i="42"/>
  <c r="F310" i="42" s="1"/>
  <c r="G310" i="42" s="1"/>
  <c r="H310" i="42" s="1"/>
  <c r="I310" i="42" s="1"/>
  <c r="J310" i="42" s="1"/>
  <c r="E213" i="42"/>
  <c r="F213" i="42" s="1"/>
  <c r="G213" i="42" s="1"/>
  <c r="H213" i="42" s="1"/>
  <c r="I213" i="42" s="1"/>
  <c r="J213" i="42" s="1"/>
  <c r="E163" i="42"/>
  <c r="F163" i="42" s="1"/>
  <c r="G163" i="42" s="1"/>
  <c r="H163" i="42" s="1"/>
  <c r="I163" i="42" s="1"/>
  <c r="J163" i="42" s="1"/>
  <c r="E118" i="42"/>
  <c r="F118" i="42" s="1"/>
  <c r="G118" i="42" s="1"/>
  <c r="H118" i="42" s="1"/>
  <c r="I118" i="42" s="1"/>
  <c r="J118" i="42" s="1"/>
  <c r="E311" i="42"/>
  <c r="F311" i="42" s="1"/>
  <c r="G311" i="42" s="1"/>
  <c r="H311" i="42" s="1"/>
  <c r="I311" i="42" s="1"/>
  <c r="J311" i="42" s="1"/>
  <c r="E194" i="42"/>
  <c r="F194" i="42" s="1"/>
  <c r="G194" i="42" s="1"/>
  <c r="H194" i="42" s="1"/>
  <c r="I194" i="42" s="1"/>
  <c r="J194" i="42" s="1"/>
  <c r="E164" i="42"/>
  <c r="F164" i="42" s="1"/>
  <c r="G164" i="42" s="1"/>
  <c r="H164" i="42" s="1"/>
  <c r="I164" i="42" s="1"/>
  <c r="J164" i="42" s="1"/>
  <c r="E99" i="42"/>
  <c r="F99" i="42" s="1"/>
  <c r="G99" i="42" s="1"/>
  <c r="H99" i="42" s="1"/>
  <c r="I99" i="42" s="1"/>
  <c r="J99" i="42" s="1"/>
  <c r="E312" i="42"/>
  <c r="F312" i="42" s="1"/>
  <c r="G312" i="42" s="1"/>
  <c r="H312" i="42" s="1"/>
  <c r="I312" i="42" s="1"/>
  <c r="J312" i="42" s="1"/>
  <c r="E172" i="42"/>
  <c r="F172" i="42" s="1"/>
  <c r="G172" i="42" s="1"/>
  <c r="H172" i="42" s="1"/>
  <c r="I172" i="42" s="1"/>
  <c r="J172" i="42" s="1"/>
  <c r="E165" i="42"/>
  <c r="F165" i="42" s="1"/>
  <c r="G165" i="42" s="1"/>
  <c r="H165" i="42" s="1"/>
  <c r="I165" i="42" s="1"/>
  <c r="J165" i="42" s="1"/>
  <c r="E114" i="42"/>
  <c r="F114" i="42" s="1"/>
  <c r="G114" i="42" s="1"/>
  <c r="H114" i="42" s="1"/>
  <c r="I114" i="42" s="1"/>
  <c r="J114" i="42" s="1"/>
  <c r="E313" i="42"/>
  <c r="F313" i="42" s="1"/>
  <c r="G313" i="42" s="1"/>
  <c r="H313" i="42" s="1"/>
  <c r="I313" i="42" s="1"/>
  <c r="J313" i="42" s="1"/>
  <c r="E169" i="42"/>
  <c r="F169" i="42" s="1"/>
  <c r="G169" i="42" s="1"/>
  <c r="H169" i="42" s="1"/>
  <c r="I169" i="42" s="1"/>
  <c r="J169" i="42" s="1"/>
  <c r="K169" i="42" s="1"/>
</calcChain>
</file>

<file path=xl/sharedStrings.xml><?xml version="1.0" encoding="utf-8"?>
<sst xmlns="http://schemas.openxmlformats.org/spreadsheetml/2006/main" count="16670" uniqueCount="636">
  <si>
    <t>AS</t>
  </si>
  <si>
    <t>IP</t>
  </si>
  <si>
    <t>SR</t>
  </si>
  <si>
    <t>Value</t>
  </si>
  <si>
    <t>BARLEY</t>
  </si>
  <si>
    <t>CAPITAL</t>
  </si>
  <si>
    <t>SR001</t>
  </si>
  <si>
    <t>SR006</t>
  </si>
  <si>
    <t>SR009</t>
  </si>
  <si>
    <t>SR010</t>
  </si>
  <si>
    <t>SR012</t>
  </si>
  <si>
    <t>SR026</t>
  </si>
  <si>
    <t>SR033</t>
  </si>
  <si>
    <t>SR043</t>
  </si>
  <si>
    <t>SR061</t>
  </si>
  <si>
    <t>SR069</t>
  </si>
  <si>
    <t>SR074</t>
  </si>
  <si>
    <t>SR076</t>
  </si>
  <si>
    <t>SR078</t>
  </si>
  <si>
    <t>SR080</t>
  </si>
  <si>
    <t>COARSGRAIN</t>
  </si>
  <si>
    <t>GRAINSEED</t>
  </si>
  <si>
    <t>LABOR</t>
  </si>
  <si>
    <t>NITROGEN</t>
  </si>
  <si>
    <t>OTHRVARCST</t>
  </si>
  <si>
    <t>PESTICIDES</t>
  </si>
  <si>
    <t>FORAGE1</t>
  </si>
  <si>
    <t>SILAGE</t>
  </si>
  <si>
    <t>FORAGE2</t>
  </si>
  <si>
    <t>GRASSPASTR</t>
  </si>
  <si>
    <t>LAY</t>
  </si>
  <si>
    <t>LONGLAY</t>
  </si>
  <si>
    <t>MAKEHAY</t>
  </si>
  <si>
    <t>HAY</t>
  </si>
  <si>
    <t>OATS</t>
  </si>
  <si>
    <t>PASTURE1</t>
  </si>
  <si>
    <t>PASTURE2</t>
  </si>
  <si>
    <t>POTATO</t>
  </si>
  <si>
    <t>POTATOES</t>
  </si>
  <si>
    <t>PPASTR</t>
  </si>
  <si>
    <t>S-RAPE</t>
  </si>
  <si>
    <t>BREADGRAIN</t>
  </si>
  <si>
    <t>OILGRAIN</t>
  </si>
  <si>
    <t>SUGAR</t>
  </si>
  <si>
    <t>SUGARBEET</t>
  </si>
  <si>
    <t>W-RAPE</t>
  </si>
  <si>
    <t>W-RAY</t>
  </si>
  <si>
    <t>W-WHEAT</t>
  </si>
  <si>
    <t>HERBICIDES</t>
  </si>
  <si>
    <t>SR005</t>
  </si>
  <si>
    <t>SR014</t>
  </si>
  <si>
    <t>SR019</t>
  </si>
  <si>
    <t>SR050</t>
  </si>
  <si>
    <t>W-BARLEY</t>
  </si>
  <si>
    <t>FEEDPEAS</t>
  </si>
  <si>
    <t>GLYFOSAT</t>
  </si>
  <si>
    <t>FORAGE3</t>
  </si>
  <si>
    <t>FUNGICIDES</t>
  </si>
  <si>
    <t>INSECTICID</t>
  </si>
  <si>
    <t>SR079</t>
  </si>
  <si>
    <t>SR077</t>
  </si>
  <si>
    <t>BEEFCATTLE</t>
  </si>
  <si>
    <t>SLGHBEEF</t>
  </si>
  <si>
    <t>FEEDGRAIN</t>
  </si>
  <si>
    <t>OTHERFEED</t>
  </si>
  <si>
    <t>BEEFCFAC</t>
  </si>
  <si>
    <t>BULLFAC</t>
  </si>
  <si>
    <t>ACRMANURE</t>
  </si>
  <si>
    <t>CHICKEN</t>
  </si>
  <si>
    <t>SLGHPLTRY</t>
  </si>
  <si>
    <t>CHICKFAC</t>
  </si>
  <si>
    <t>DAIRYBULL1</t>
  </si>
  <si>
    <t>DCALFM</t>
  </si>
  <si>
    <t>DAIRYBULL2</t>
  </si>
  <si>
    <t>DCOW1</t>
  </si>
  <si>
    <t>BETFOR</t>
  </si>
  <si>
    <t>MILK</t>
  </si>
  <si>
    <t>MINDCOW</t>
  </si>
  <si>
    <t>RAPEMEAL</t>
  </si>
  <si>
    <t>SOJA</t>
  </si>
  <si>
    <t>DCALFF</t>
  </si>
  <si>
    <t>DHEIFER</t>
  </si>
  <si>
    <t>DAIRYFAC</t>
  </si>
  <si>
    <t>DCOW2</t>
  </si>
  <si>
    <t>FPEAS</t>
  </si>
  <si>
    <t>DCOW3</t>
  </si>
  <si>
    <t>DCOW4</t>
  </si>
  <si>
    <t>ECOPIG</t>
  </si>
  <si>
    <t>SLGHPORK</t>
  </si>
  <si>
    <t>CROPLAND</t>
  </si>
  <si>
    <t>EPOULTRY</t>
  </si>
  <si>
    <t>EGG</t>
  </si>
  <si>
    <t>MISCCOST</t>
  </si>
  <si>
    <t>PLTRYFAC</t>
  </si>
  <si>
    <t>GILT</t>
  </si>
  <si>
    <t>GILTS</t>
  </si>
  <si>
    <t>PIGLETS</t>
  </si>
  <si>
    <t>HEIFER</t>
  </si>
  <si>
    <t>POULTRY</t>
  </si>
  <si>
    <t>SHEEP</t>
  </si>
  <si>
    <t>SLGHSHEEP</t>
  </si>
  <si>
    <t>MISCRCPT</t>
  </si>
  <si>
    <t>SHEEPFAC</t>
  </si>
  <si>
    <t>SLGHSWINE1</t>
  </si>
  <si>
    <t>SWINEFAC</t>
  </si>
  <si>
    <t>SOW1</t>
  </si>
  <si>
    <t>SOWFAC</t>
  </si>
  <si>
    <t>BEEFCFEXN</t>
  </si>
  <si>
    <t>BEEFCFEXR</t>
  </si>
  <si>
    <t>BEEFCFACR</t>
  </si>
  <si>
    <t>BULLFEXN</t>
  </si>
  <si>
    <t>BULLFEXR</t>
  </si>
  <si>
    <t>BULLFACR</t>
  </si>
  <si>
    <t>CHICKFEXN</t>
  </si>
  <si>
    <t>CHICKFEXR</t>
  </si>
  <si>
    <t>CHICKFACR</t>
  </si>
  <si>
    <t>DAIRYFEXN</t>
  </si>
  <si>
    <t>DAIRYFEXR</t>
  </si>
  <si>
    <t>DAIRYFACR</t>
  </si>
  <si>
    <t>PLTRYFEXN</t>
  </si>
  <si>
    <t>PLTRYFEXR</t>
  </si>
  <si>
    <t>PLTRYFACR</t>
  </si>
  <si>
    <t>SOWFEXN</t>
  </si>
  <si>
    <t>SOWFEXR</t>
  </si>
  <si>
    <t>SOWFACR</t>
  </si>
  <si>
    <t>SWINEFEXN</t>
  </si>
  <si>
    <t>SWINEFEXR</t>
  </si>
  <si>
    <t>SWINEFACR</t>
  </si>
  <si>
    <t>IN</t>
  </si>
  <si>
    <t>PBAR</t>
  </si>
  <si>
    <t>QBAR</t>
  </si>
  <si>
    <t>ELAS</t>
  </si>
  <si>
    <t>MAX</t>
  </si>
  <si>
    <t>LABOR2</t>
  </si>
  <si>
    <t>POWER</t>
  </si>
  <si>
    <t>DIESEL</t>
  </si>
  <si>
    <t>PLASTIC</t>
  </si>
  <si>
    <t>CO2</t>
  </si>
  <si>
    <t>CH4</t>
  </si>
  <si>
    <t>N2O</t>
  </si>
  <si>
    <t>CO2EQ</t>
  </si>
  <si>
    <t>NH3</t>
  </si>
  <si>
    <t>YIELDRIRE1</t>
  </si>
  <si>
    <t>YIELDRIRE2</t>
  </si>
  <si>
    <t>DPTRANC</t>
  </si>
  <si>
    <t>MIN</t>
  </si>
  <si>
    <t>R</t>
  </si>
  <si>
    <t>IR</t>
  </si>
  <si>
    <t>R2</t>
  </si>
  <si>
    <t>INCONVCOV</t>
  </si>
  <si>
    <t>R3</t>
  </si>
  <si>
    <t>R4</t>
  </si>
  <si>
    <t>R5</t>
  </si>
  <si>
    <t>R6</t>
  </si>
  <si>
    <t>INCONVECOV</t>
  </si>
  <si>
    <t>INCONVCAT</t>
  </si>
  <si>
    <t>INCONVECAT</t>
  </si>
  <si>
    <t>INCONVLAT</t>
  </si>
  <si>
    <t>INCONVELAT</t>
  </si>
  <si>
    <t>R1</t>
  </si>
  <si>
    <t>PCAPKMILK</t>
  </si>
  <si>
    <t>PCAPCHEESE</t>
  </si>
  <si>
    <t>PCAPBUTTER</t>
  </si>
  <si>
    <t>PCAPDRYMLK</t>
  </si>
  <si>
    <t>PCAPBEEF</t>
  </si>
  <si>
    <t>PCAPPORK</t>
  </si>
  <si>
    <t>PCAPPLTRY</t>
  </si>
  <si>
    <t>PCAPMILL</t>
  </si>
  <si>
    <t>PCAPFEED</t>
  </si>
  <si>
    <t>LVSTKBAL1</t>
  </si>
  <si>
    <t>MAXREIND</t>
  </si>
  <si>
    <t>MAXWILDM</t>
  </si>
  <si>
    <t>MAXFISH</t>
  </si>
  <si>
    <t>MAXFRUIT</t>
  </si>
  <si>
    <t>MAXVEGET</t>
  </si>
  <si>
    <t>MAXWBERRY</t>
  </si>
  <si>
    <t>OILGRSEED</t>
  </si>
  <si>
    <t>POTATOSEED</t>
  </si>
  <si>
    <t>SUGARBSEED</t>
  </si>
  <si>
    <t>VEGETSEED</t>
  </si>
  <si>
    <t>PHOSPHORUS</t>
  </si>
  <si>
    <t>POTASSIUM</t>
  </si>
  <si>
    <t>PROTFEED</t>
  </si>
  <si>
    <t>PRMPAST</t>
  </si>
  <si>
    <t>PRMPASTT</t>
  </si>
  <si>
    <t>PRMPASTN</t>
  </si>
  <si>
    <t>PRMALV</t>
  </si>
  <si>
    <t>PRMFOR</t>
  </si>
  <si>
    <t>PRMMOS</t>
  </si>
  <si>
    <t>PRMLOW</t>
  </si>
  <si>
    <t>PRMCHAL</t>
  </si>
  <si>
    <t>PRMMEAD</t>
  </si>
  <si>
    <t>SR002</t>
  </si>
  <si>
    <t>SR003</t>
  </si>
  <si>
    <t>SR004</t>
  </si>
  <si>
    <t>SR007</t>
  </si>
  <si>
    <t>SR008</t>
  </si>
  <si>
    <t>SR011</t>
  </si>
  <si>
    <t>SR013</t>
  </si>
  <si>
    <t>SR015</t>
  </si>
  <si>
    <t>SR016</t>
  </si>
  <si>
    <t>SR017</t>
  </si>
  <si>
    <t>SR018</t>
  </si>
  <si>
    <t>SR020</t>
  </si>
  <si>
    <t>SR021</t>
  </si>
  <si>
    <t>SR022</t>
  </si>
  <si>
    <t>SR023</t>
  </si>
  <si>
    <t>SR024</t>
  </si>
  <si>
    <t>SR025</t>
  </si>
  <si>
    <t>SR027</t>
  </si>
  <si>
    <t>SR028</t>
  </si>
  <si>
    <t>SR029</t>
  </si>
  <si>
    <t>SR030</t>
  </si>
  <si>
    <t>SR031</t>
  </si>
  <si>
    <t>SR032</t>
  </si>
  <si>
    <t>SR034</t>
  </si>
  <si>
    <t>SR035</t>
  </si>
  <si>
    <t>SR036</t>
  </si>
  <si>
    <t>SR037</t>
  </si>
  <si>
    <t>SR038</t>
  </si>
  <si>
    <t>SR039</t>
  </si>
  <si>
    <t>SR040</t>
  </si>
  <si>
    <t>SR041</t>
  </si>
  <si>
    <t>SR042</t>
  </si>
  <si>
    <t>SR044</t>
  </si>
  <si>
    <t>SR045</t>
  </si>
  <si>
    <t>SR046</t>
  </si>
  <si>
    <t>SR047</t>
  </si>
  <si>
    <t>SR048</t>
  </si>
  <si>
    <t>SR049</t>
  </si>
  <si>
    <t>SR051</t>
  </si>
  <si>
    <t>SR052</t>
  </si>
  <si>
    <t>SR053</t>
  </si>
  <si>
    <t>SR054</t>
  </si>
  <si>
    <t>SR055</t>
  </si>
  <si>
    <t>SR056</t>
  </si>
  <si>
    <t>SR057</t>
  </si>
  <si>
    <t>SR058</t>
  </si>
  <si>
    <t>SR059</t>
  </si>
  <si>
    <t>SR060</t>
  </si>
  <si>
    <t>SR062</t>
  </si>
  <si>
    <t>SR063</t>
  </si>
  <si>
    <t>SR064</t>
  </si>
  <si>
    <t>SR065</t>
  </si>
  <si>
    <t>SR066</t>
  </si>
  <si>
    <t>SR067</t>
  </si>
  <si>
    <t>SR068</t>
  </si>
  <si>
    <t>SR070</t>
  </si>
  <si>
    <t>SR071</t>
  </si>
  <si>
    <t>SR072</t>
  </si>
  <si>
    <t>SR073</t>
  </si>
  <si>
    <t>SR075</t>
  </si>
  <si>
    <t>SR081</t>
  </si>
  <si>
    <t>PRMPASTUP</t>
  </si>
  <si>
    <t>POTPAST</t>
  </si>
  <si>
    <t>POTPASTT</t>
  </si>
  <si>
    <t>POTPASTN</t>
  </si>
  <si>
    <t>POTALV</t>
  </si>
  <si>
    <t>POTFOR</t>
  </si>
  <si>
    <t>POTMOS</t>
  </si>
  <si>
    <t>POTLOW</t>
  </si>
  <si>
    <t>POTCHAL</t>
  </si>
  <si>
    <t>POTMEAD</t>
  </si>
  <si>
    <t>PR</t>
  </si>
  <si>
    <t>WPRICE</t>
  </si>
  <si>
    <t>TARIFF</t>
  </si>
  <si>
    <t>SUBSIDY</t>
  </si>
  <si>
    <t>PEAS</t>
  </si>
  <si>
    <t>EPEAS</t>
  </si>
  <si>
    <t>RAPEOIL</t>
  </si>
  <si>
    <t>WHITESUGAR</t>
  </si>
  <si>
    <t>CHEESE</t>
  </si>
  <si>
    <t>BUTTER</t>
  </si>
  <si>
    <t>DRYMILK</t>
  </si>
  <si>
    <t>DRYMILK2</t>
  </si>
  <si>
    <t>BEEF</t>
  </si>
  <si>
    <t>PORK</t>
  </si>
  <si>
    <t>PLTRYMEAT</t>
  </si>
  <si>
    <t>WILDMEAT</t>
  </si>
  <si>
    <t>FISH</t>
  </si>
  <si>
    <t>FRUIT</t>
  </si>
  <si>
    <t>VEGETAB</t>
  </si>
  <si>
    <t>ENERBGR</t>
  </si>
  <si>
    <t>ENERCGR</t>
  </si>
  <si>
    <t>ENEROILG</t>
  </si>
  <si>
    <t>DPTRANR</t>
  </si>
  <si>
    <t>CBONDING</t>
  </si>
  <si>
    <t>ECOSUB</t>
  </si>
  <si>
    <t>GACRSUB</t>
  </si>
  <si>
    <t>FORSUB</t>
  </si>
  <si>
    <t>CATTLESUB</t>
  </si>
  <si>
    <t>SOWHLTSUB</t>
  </si>
  <si>
    <t>ES3</t>
  </si>
  <si>
    <t>ES4</t>
  </si>
  <si>
    <t>ES5</t>
  </si>
  <si>
    <t>ES6</t>
  </si>
  <si>
    <t>NATSUB</t>
  </si>
  <si>
    <t>BIODIVSUB</t>
  </si>
  <si>
    <t>BIODIVSUB2</t>
  </si>
  <si>
    <t>BIODIVSUB3</t>
  </si>
  <si>
    <t>BIODIVSUBA</t>
  </si>
  <si>
    <t>BIODIVSUBF</t>
  </si>
  <si>
    <t>BIODIVSUBM</t>
  </si>
  <si>
    <t>BIODIVSUBG</t>
  </si>
  <si>
    <t>BIODIVSUBC</t>
  </si>
  <si>
    <t>BIODIVSUBS</t>
  </si>
  <si>
    <t>PN</t>
  </si>
  <si>
    <t>BREADGRC</t>
  </si>
  <si>
    <t>COARSGRC</t>
  </si>
  <si>
    <t>FLOURC</t>
  </si>
  <si>
    <t>RAPEOILC</t>
  </si>
  <si>
    <t>RAPSKAKA</t>
  </si>
  <si>
    <t>POTATOESC</t>
  </si>
  <si>
    <t>SUGARC</t>
  </si>
  <si>
    <t>EGGC</t>
  </si>
  <si>
    <t>RIDING</t>
  </si>
  <si>
    <t>KMILKC</t>
  </si>
  <si>
    <t>CHEESEC</t>
  </si>
  <si>
    <t>BUTTERC</t>
  </si>
  <si>
    <t>CREAMC</t>
  </si>
  <si>
    <t>DRYMILKC</t>
  </si>
  <si>
    <t>BEEFC</t>
  </si>
  <si>
    <t>PORKC</t>
  </si>
  <si>
    <t>PLTRYMEATC</t>
  </si>
  <si>
    <t>SHEEPC</t>
  </si>
  <si>
    <t>WILDMEATC</t>
  </si>
  <si>
    <t>FISHC</t>
  </si>
  <si>
    <t>FRUITC</t>
  </si>
  <si>
    <t>VEGETABC</t>
  </si>
  <si>
    <t>WBERRYC</t>
  </si>
  <si>
    <t>EGRAIN</t>
  </si>
  <si>
    <t>ERAPE</t>
  </si>
  <si>
    <t>ESUGARB</t>
  </si>
  <si>
    <t>EPOTATOES</t>
  </si>
  <si>
    <t>EMILK</t>
  </si>
  <si>
    <t>EBEEF</t>
  </si>
  <si>
    <t>EPORK</t>
  </si>
  <si>
    <t>ESHEEPM</t>
  </si>
  <si>
    <t>EEGG</t>
  </si>
  <si>
    <t>ENERGY</t>
  </si>
  <si>
    <t>PROTEIN</t>
  </si>
  <si>
    <t>PROTEINA</t>
  </si>
  <si>
    <t>FAT</t>
  </si>
  <si>
    <t>CARBOH</t>
  </si>
  <si>
    <t>SDP</t>
  </si>
  <si>
    <t>value</t>
  </si>
  <si>
    <t>TRD</t>
  </si>
  <si>
    <t>RS</t>
  </si>
  <si>
    <t>ECON</t>
  </si>
  <si>
    <t>ECOP</t>
  </si>
  <si>
    <t>ECOK</t>
  </si>
  <si>
    <t>SLGHHEIFER</t>
  </si>
  <si>
    <t>HORSES</t>
  </si>
  <si>
    <t>EDCOW1</t>
  </si>
  <si>
    <t>EDCOW2</t>
  </si>
  <si>
    <t>EDCOW3</t>
  </si>
  <si>
    <t>EHEIFER</t>
  </si>
  <si>
    <t>EDBULL1</t>
  </si>
  <si>
    <t>EDBULL2</t>
  </si>
  <si>
    <t>ESLGHHEIF</t>
  </si>
  <si>
    <t>EBEEFCATT</t>
  </si>
  <si>
    <t>ESHEEP</t>
  </si>
  <si>
    <t>P</t>
  </si>
  <si>
    <t>NUT</t>
  </si>
  <si>
    <t>ENERG</t>
  </si>
  <si>
    <t>PROT</t>
  </si>
  <si>
    <t>PROTA</t>
  </si>
  <si>
    <t>FAT2</t>
  </si>
  <si>
    <t>CARB</t>
  </si>
  <si>
    <t>CR</t>
  </si>
  <si>
    <t>P-BGTOFG</t>
  </si>
  <si>
    <t>P-CGTOFG</t>
  </si>
  <si>
    <t>P-GSEED</t>
  </si>
  <si>
    <t>P-PSEED</t>
  </si>
  <si>
    <t>P-POTSEED</t>
  </si>
  <si>
    <t>P-PREMILK</t>
  </si>
  <si>
    <t>P-KMILK</t>
  </si>
  <si>
    <t>P-CHEESE</t>
  </si>
  <si>
    <t>P-BUTTER</t>
  </si>
  <si>
    <t>P-CREAM</t>
  </si>
  <si>
    <t>P-DRYMILK</t>
  </si>
  <si>
    <t>P-DRYMILK2</t>
  </si>
  <si>
    <t>P-BEEF</t>
  </si>
  <si>
    <t>P-PORK</t>
  </si>
  <si>
    <t>P-POULTRY</t>
  </si>
  <si>
    <t>P-FPEAS</t>
  </si>
  <si>
    <t>P-PEAS</t>
  </si>
  <si>
    <t>P-RMEAL</t>
  </si>
  <si>
    <t>P-RKAKA</t>
  </si>
  <si>
    <t>P-FLOUR</t>
  </si>
  <si>
    <t>P-SUGAR</t>
  </si>
  <si>
    <t>P-PROTFEED</t>
  </si>
  <si>
    <t>PCAPPOTS</t>
  </si>
  <si>
    <t>PEASSEED</t>
  </si>
  <si>
    <t>SKIMMILK</t>
  </si>
  <si>
    <t>MILKFAT</t>
  </si>
  <si>
    <t>KMILK</t>
  </si>
  <si>
    <t>CREAM</t>
  </si>
  <si>
    <t>PPEAS</t>
  </si>
  <si>
    <t>P-RME</t>
  </si>
  <si>
    <t>FLOUR</t>
  </si>
  <si>
    <t>P-BGTOEG</t>
  </si>
  <si>
    <t>P-CGTOEG</t>
  </si>
  <si>
    <t>R-BREADGR</t>
  </si>
  <si>
    <t>R-COARSGR</t>
  </si>
  <si>
    <t>R-FLOUR</t>
  </si>
  <si>
    <t>R-RAPEOIL</t>
  </si>
  <si>
    <t>R-POTATOES</t>
  </si>
  <si>
    <t>R-SUGAR</t>
  </si>
  <si>
    <t>R-SHEEP</t>
  </si>
  <si>
    <t>R-EGG</t>
  </si>
  <si>
    <t>R-KMILK</t>
  </si>
  <si>
    <t>R-CHEESE</t>
  </si>
  <si>
    <t>R-BUTTER</t>
  </si>
  <si>
    <t>R-CREAM</t>
  </si>
  <si>
    <t>R-DRYMILK</t>
  </si>
  <si>
    <t>R-WILDMEAT</t>
  </si>
  <si>
    <t>R-FISH</t>
  </si>
  <si>
    <t>R-BEEF</t>
  </si>
  <si>
    <t>R-PORK</t>
  </si>
  <si>
    <t>R-PLTRYM</t>
  </si>
  <si>
    <t>R-FRUIT</t>
  </si>
  <si>
    <t>R-VEGETAB</t>
  </si>
  <si>
    <t>R-WBERRY</t>
  </si>
  <si>
    <t>WBERRY</t>
  </si>
  <si>
    <t>REINDEER</t>
  </si>
  <si>
    <t>HUNTING</t>
  </si>
  <si>
    <t>FISHING</t>
  </si>
  <si>
    <t>FRUITS</t>
  </si>
  <si>
    <t>VEGETABLE</t>
  </si>
  <si>
    <t>WILDBERRY</t>
  </si>
  <si>
    <t>MAXWHEAT</t>
  </si>
  <si>
    <t>MAXWWHEAT</t>
  </si>
  <si>
    <t>MAXWRAY</t>
  </si>
  <si>
    <t>MAXOILG</t>
  </si>
  <si>
    <t>MAJSSIL</t>
  </si>
  <si>
    <t>MAXWOILG</t>
  </si>
  <si>
    <t>MAXPEAS</t>
  </si>
  <si>
    <t>MAXPOTATO</t>
  </si>
  <si>
    <t>MAXSUGAR</t>
  </si>
  <si>
    <t>MINNEWFOR</t>
  </si>
  <si>
    <t>MAXLATE</t>
  </si>
  <si>
    <t>COVERCROP</t>
  </si>
  <si>
    <t>NEWFOR</t>
  </si>
  <si>
    <t>OTHERCROPS</t>
  </si>
  <si>
    <t>MAXEWHEAT</t>
  </si>
  <si>
    <t>EW-WHEAT</t>
  </si>
  <si>
    <t>EW-RAY</t>
  </si>
  <si>
    <t>EBARLEY</t>
  </si>
  <si>
    <t>EOATS</t>
  </si>
  <si>
    <t>EW-RAPE</t>
  </si>
  <si>
    <t>ES-RAPE</t>
  </si>
  <si>
    <t>EPOTATO</t>
  </si>
  <si>
    <t>ESUGAR</t>
  </si>
  <si>
    <t>ENFIX</t>
  </si>
  <si>
    <t>MAXEWWHEAT</t>
  </si>
  <si>
    <t>MAXEWRAY</t>
  </si>
  <si>
    <t>MAXEOILG</t>
  </si>
  <si>
    <t>MAXEWOILG</t>
  </si>
  <si>
    <t>MAXEPEAS</t>
  </si>
  <si>
    <t>MAXEPOTATO</t>
  </si>
  <si>
    <t>MAXESUGAR</t>
  </si>
  <si>
    <t>MINENEWFOR</t>
  </si>
  <si>
    <t>MAXELATE</t>
  </si>
  <si>
    <t>EFORAGE1</t>
  </si>
  <si>
    <t>EFORAGE2</t>
  </si>
  <si>
    <t>EPASTURE1</t>
  </si>
  <si>
    <t>EOTHRCROPS</t>
  </si>
  <si>
    <t>ELAY</t>
  </si>
  <si>
    <t>ECOVERCROP</t>
  </si>
  <si>
    <t>EFORAGE3</t>
  </si>
  <si>
    <t>EPASTURE2</t>
  </si>
  <si>
    <t>ENEWFOR</t>
  </si>
  <si>
    <t>PS</t>
  </si>
  <si>
    <t>COMP4SUB</t>
  </si>
  <si>
    <t>COMPSUB</t>
  </si>
  <si>
    <t>COMPSUBL</t>
  </si>
  <si>
    <t>ICRPR</t>
  </si>
  <si>
    <t>SA</t>
  </si>
  <si>
    <t>SA01</t>
  </si>
  <si>
    <t>SA02</t>
  </si>
  <si>
    <t>SA03</t>
  </si>
  <si>
    <t>SA04</t>
  </si>
  <si>
    <t>SA05</t>
  </si>
  <si>
    <t>SA06</t>
  </si>
  <si>
    <t>SA07</t>
  </si>
  <si>
    <t>SA08</t>
  </si>
  <si>
    <t>SA09</t>
  </si>
  <si>
    <t>SA10</t>
  </si>
  <si>
    <t>SA11</t>
  </si>
  <si>
    <t>SA12</t>
  </si>
  <si>
    <t>SA04a</t>
  </si>
  <si>
    <t>SA04b</t>
  </si>
  <si>
    <t>SA07b</t>
  </si>
  <si>
    <t>SA07a</t>
  </si>
  <si>
    <t>SA13ssk</t>
  </si>
  <si>
    <t>SA13ss</t>
  </si>
  <si>
    <t>SA13gns</t>
  </si>
  <si>
    <t>SA13gmb</t>
  </si>
  <si>
    <t>SA13gss</t>
  </si>
  <si>
    <t>NOO</t>
  </si>
  <si>
    <t>NN</t>
  </si>
  <si>
    <t>SSK</t>
  </si>
  <si>
    <t>GSK</t>
  </si>
  <si>
    <t>SS</t>
  </si>
  <si>
    <t>GNS</t>
  </si>
  <si>
    <t>GMB</t>
  </si>
  <si>
    <t>GSS</t>
  </si>
  <si>
    <t>PO</t>
  </si>
  <si>
    <t>HORSEFAC</t>
  </si>
  <si>
    <t>BIN(IN,SDP)</t>
  </si>
  <si>
    <t>BIR(R,IR,SDP)</t>
  </si>
  <si>
    <t>BIRF(IR,R)</t>
  </si>
  <si>
    <t>BIRI(IR,R)</t>
  </si>
  <si>
    <t>BISFA(SR,IS)</t>
  </si>
  <si>
    <t>BMR(R,PR,TRD)</t>
  </si>
  <si>
    <t>BPN(PN,SDP)</t>
  </si>
  <si>
    <t>BPRN(PR,SDP)</t>
  </si>
  <si>
    <t>BXR(R,PR,TRD)</t>
  </si>
  <si>
    <t>CONST(IP,AS)</t>
  </si>
  <si>
    <t>DT(RS,RD)</t>
  </si>
  <si>
    <t>ECR(R,CR,IP)</t>
  </si>
  <si>
    <t>ECR2(R,CR,IP)</t>
  </si>
  <si>
    <t>ECR3(R,CR,IP)</t>
  </si>
  <si>
    <t>MANURE(AS,IP)</t>
  </si>
  <si>
    <t>NSUB(AS,SR)</t>
  </si>
  <si>
    <t>BPSI_SA(SA,PS)</t>
  </si>
  <si>
    <t>NUTRIENT(P,NUTX)</t>
  </si>
  <si>
    <t>PRODCOEFC_SA(AS,IP,SA)</t>
  </si>
  <si>
    <t>PRODCOEFC2_PO(AS,IP,PO)</t>
  </si>
  <si>
    <t>PRODCOEFL_SA(AS,IP,SA)</t>
  </si>
  <si>
    <t>UT(IP)</t>
  </si>
  <si>
    <t>POP(R)</t>
  </si>
  <si>
    <t>Unit input and product coef for crop prod act by support areas</t>
  </si>
  <si>
    <t>Unit input and product coef for pesticide use by PO8</t>
  </si>
  <si>
    <t>Unit input and product coef for livestock prod act by support areas</t>
  </si>
  <si>
    <t>Population separated in regions</t>
  </si>
  <si>
    <t>Unit transportation cost per 1000 kilometers</t>
  </si>
  <si>
    <t>National input supply parameters</t>
  </si>
  <si>
    <t>Regional input supply parameters</t>
  </si>
  <si>
    <t>Regional supply of fixed inputs</t>
  </si>
  <si>
    <t>Regional prices of inputs with infinite price elasticity</t>
  </si>
  <si>
    <t>Subregional supply of fixed inputs</t>
  </si>
  <si>
    <t>Import parameters for regional products</t>
  </si>
  <si>
    <t>National product demand parameters</t>
  </si>
  <si>
    <t>National data for regional product demand parameters</t>
  </si>
  <si>
    <t>Subregional prices of infinite elastic products</t>
  </si>
  <si>
    <t>Export parameters for regional products</t>
  </si>
  <si>
    <t>Constraints on crop rotation etc.</t>
  </si>
  <si>
    <t>Distance from source region to destination region</t>
  </si>
  <si>
    <t>Unit input and product coef for regional processing activities</t>
  </si>
  <si>
    <t>Unit input and product coef for regional retail activities</t>
  </si>
  <si>
    <t>Unit input and product coef for regional production activities</t>
  </si>
  <si>
    <t>Potential for national subsidies</t>
  </si>
  <si>
    <t>NPK for livestock activities</t>
  </si>
  <si>
    <t>Emissions or what?</t>
  </si>
  <si>
    <t>Content of nutrients in products (KJ per 100g or g per 100g)</t>
  </si>
  <si>
    <t>* Labor2 V-Gotaland kalk 2023.</t>
  </si>
  <si>
    <t>* Diesel from Lst V-goltland kalk 2019. Price reduced by 1,70 kr/l for tax repayment</t>
  </si>
  <si>
    <t>* Plastic is include in other var cost. Only storage calculated for now</t>
  </si>
  <si>
    <t>* Acreage 2018, eco in proportion to schare of arable land</t>
  </si>
  <si>
    <t>* INCONVCOV &amp; INCONVECOV are 0.700 + 0.500 from Other variable costs</t>
  </si>
  <si>
    <t>* Data from "Karta foradling o handel SASMREG.xlsx" and "Naringsinnehall livsmedel V7"</t>
  </si>
  <si>
    <t>* Regional distribution of game meat, fish and vegetables needs to be checked.</t>
  </si>
  <si>
    <t xml:space="preserve">* Data labor V-Gotaland kalk 2023 and NPK V-Gotaland kalk 2019. </t>
  </si>
  <si>
    <t>* Data from Jordbruksverket for 2020</t>
  </si>
  <si>
    <t>* Import price for grain and oilgrain is export price plus transport cost 1000 km</t>
  </si>
  <si>
    <t>* Import price for rapeseed oil is EU market price 2017-2021 from OECD.</t>
  </si>
  <si>
    <t>* Import price for cheese, butter and drymilk is EU market price 2017-2021 from OECD  plus</t>
  </si>
  <si>
    <t>* transport cost 1000 km.</t>
  </si>
  <si>
    <t>* Import price egg, beef, sheep, poutry and pork is market price 2017-2021 in Sweden. Data from</t>
  </si>
  <si>
    <t>* LRF Uppfoljning</t>
  </si>
  <si>
    <t>*Added 1.000 on the chalet pasture (fabodsbete) for the houses. Assumed 20 ha per house</t>
  </si>
  <si>
    <t>* Notes: Elasticities are taken from USMP. Values rounded to the nearest tenth.  Dry milk</t>
  </si>
  <si>
    <t>* elasticity is assumed. Elasticities are assumed equal across regions and are assumed</t>
  </si>
  <si>
    <t>* to hold at the prices and quantities shown.</t>
  </si>
  <si>
    <t>* Livestock subsidies are in Euro and later changed to SEK.</t>
  </si>
  <si>
    <t>* Prices for sugar, egg and eco are updated to 2019</t>
  </si>
  <si>
    <t>* Volum of wild berries is estimated and excluded from fruit</t>
  </si>
  <si>
    <t>* Consumption updated to 2023/2022. Data from SJV</t>
  </si>
  <si>
    <t>* COMPSUB is "kompensationsbidraget" (LFA</t>
  </si>
  <si>
    <t>* Export price for grain and oilgrain is Swedish average producer price 2017-2021, SJV.</t>
  </si>
  <si>
    <t>* Export price for rapeseed oil is EU market price 2017-2021 from OECD minus transport 1000 km.</t>
  </si>
  <si>
    <t>* Export price for cheese, butter and drymilk is EU market price 2017-2021 from OECD.</t>
  </si>
  <si>
    <t>* Export price egg, beef, sheep, poutry and pork is import price minus transport 1000 km</t>
  </si>
  <si>
    <t>* Slaughter marginal is added below for beef and pork.</t>
  </si>
  <si>
    <t>* Notes: Distances measured from the following cities: R1: Umea, R2:Bollnas, R3:Stockholm,</t>
  </si>
  <si>
    <t>* R4:Goteborg, R5:Vaxjo, R6:Lund</t>
  </si>
  <si>
    <t xml:space="preserve">* Notes: Data for oil grain are from JEM 1990:12; P-COST is the difference between sales value </t>
  </si>
  <si>
    <t>*        and the cost of oil grain; P-COST for dairy products are ATC from Hans Andersson</t>
  </si>
  <si>
    <t xml:space="preserve">* </t>
  </si>
  <si>
    <t>* Not: Data from SJV and Swedish food Agency (Livsmedelsverket</t>
  </si>
  <si>
    <t>* Data for rye are adjusted in region 5a, 5b and 6s</t>
  </si>
  <si>
    <t>* Data from SJV.</t>
  </si>
  <si>
    <t>* The bread grain part of rape is for crop rotation.</t>
  </si>
  <si>
    <t>* N and P leakage data from SOIL-NDB.</t>
  </si>
  <si>
    <t>*Data from dbull2 buildings and environmental effects are included in dcows</t>
  </si>
  <si>
    <t>* DAIRYFAC cost 73000 SEK/cow, inv sub 15 % interest rate 3 % on 60 %, depreciation of equipment 10 %</t>
  </si>
  <si>
    <t>* and building 4 %, equipment takes 40 % of construction cost. 20 % higher in north.</t>
  </si>
  <si>
    <t>* BEEFCFAC cost 10000 SEK/cow, interest rate 4 % on half, depreciation of equipment 10 %</t>
  </si>
  <si>
    <t>* and building 2 %, equipment takes 40 % of construction cost.</t>
  </si>
  <si>
    <t>* SOWFAC3 cost 35000 SEK/sow (50 sows</t>
  </si>
  <si>
    <t xml:space="preserve">* depreciation of equipment 10 % and building 5 %, equipment takes 50 % of construction cost. </t>
  </si>
  <si>
    <t>* PLTRYFAC3 cost 220000 SEK/1000, interest rate 4 % on half, depreciation of equipment 10 %</t>
  </si>
  <si>
    <t>* and building 5 %, equipment takes 50 % of construction cost.</t>
  </si>
  <si>
    <t>* Costs in northern Sweden are up to 25 % higher than in southern Sweden.</t>
  </si>
  <si>
    <t>* PLTRY data from SLU-Info, other data from LES.</t>
  </si>
  <si>
    <t>* Notes: Data are based on information from VASTAB, a transport company. Livestock are based on</t>
  </si>
  <si>
    <t>*        fees from slaughter companies.</t>
  </si>
  <si>
    <t>Data title</t>
  </si>
  <si>
    <t>Sheet/Table title</t>
  </si>
  <si>
    <t>Unit</t>
  </si>
  <si>
    <t>INFO from original GAMS data table:</t>
  </si>
  <si>
    <t>PCOST</t>
  </si>
  <si>
    <t>HPMASSA</t>
  </si>
  <si>
    <t>NLEAKAGE</t>
  </si>
  <si>
    <t>PLEAKAGE</t>
  </si>
  <si>
    <t>SA13gsk</t>
  </si>
  <si>
    <t>PRODCOEFC2(AS,'HERBICIDES',SR) = PRODCOEFC2(AS,'HERBICIDES',SR) * 1.2 * 1.33;</t>
  </si>
  <si>
    <t>PRODCOEFC2(AS,'GLYFOSAT',SR) = PRODCOEFC2(AS,'GLYFOSAT',SR) * 1 * 1.33;</t>
  </si>
  <si>
    <t>PRODCOEFC2(AS,'FUNGICIDES',SR) = PRODCOEFC2(AS,'FUNGICIDES',SR) * 1 * 1.0;</t>
  </si>
  <si>
    <t>PRODCOEFC2(AS,'INSECTICID',SR) = PRODCOEFC2(AS,'INSECTICID',SR) * 1.33 * 2.5;</t>
  </si>
  <si>
    <t>PRODCOEF(AS,VARI,SR) = PRODCOEF(AS,VARI,SR) * 0.995**4;</t>
  </si>
  <si>
    <t>*Less productivity development in LFA regions, more in other until year 2021</t>
  </si>
  <si>
    <t>PRODCOEF(AS,VARI,SR) = PRODCOEF(AS,VARI,SR) * 0.9997**4;</t>
  </si>
  <si>
    <t>PRODCOEF(AS,VARI,LFAHIGH) = PRODCOEF(AS,VARI,LFAHIGH) * 1.002**4;</t>
  </si>
  <si>
    <t>PRODCOEF(AS,VARI,SA9TO10) = PRODCOEF(AS,VARI,SA9TO10) * 1.001**4;</t>
  </si>
  <si>
    <t xml:space="preserve">* Adjust to general productivity development by 0,5 % for all inputs, 1,5 % for </t>
  </si>
  <si>
    <t>PRODCOEF(AS,VARI,SR) $(LONGRUN2) = PRODCOEF(AS,VARI,SR) * 0.995**YRT;</t>
  </si>
  <si>
    <t>*Less productivity development in LFA regions, more in other</t>
  </si>
  <si>
    <t>PRODCOEF(AS,VARI,SR) $(LONGRUN2) = PRODCOEF(AS,VARI,SR) * 0.9997**YRT;</t>
  </si>
  <si>
    <t>PRODCOEF(AS,VARI,LFAHIGH) $(LONGRUN2) = PRODCOEF(AS,VARI,LFAHIGH) * 1.002**YRT;</t>
  </si>
  <si>
    <t>PRODCOEF(AS,VARI,SA9TO10) $(LONGRUN2) = PRODCOEF(AS,VARI,SA9TO10) * 1.001**YRT;</t>
  </si>
  <si>
    <t>$</t>
  </si>
  <si>
    <t>Checked?</t>
  </si>
  <si>
    <t>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</si>
</sst>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007400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97558519241921"/>
      </bottom>
      <diagonal/>
    </border>
  </borders>
  <cellStyleXfs count="2">
    <xf numFmtId="0" fontId="0" fillId="0" borderId="0"/>
    <xf numFmtId="0" fontId="3" fillId="0" borderId="2" applyNumberFormat="0" applyFill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49" fontId="0" fillId="0" borderId="0" xfId="0" applyNumberFormat="1"/>
    <xf numFmtId="11" fontId="0" fillId="0" borderId="0" xfId="0" applyNumberFormat="1"/>
    <xf numFmtId="0" fontId="3" fillId="0" borderId="2" xfId="1"/>
    <xf numFmtId="0" fontId="3" fillId="4" borderId="2" xfId="1" applyFill="1"/>
    <xf numFmtId="0" fontId="4" fillId="0" borderId="0" xfId="0" applyFont="1"/>
    <xf numFmtId="0" fontId="0" fillId="5" borderId="0" xfId="0" applyFill="1"/>
    <xf numFmtId="0" fontId="5" fillId="0" borderId="0" xfId="0" applyFont="1" applyAlignment="1">
      <alignment vertical="center"/>
    </xf>
  </cellXfs>
  <cellStyles count="2">
    <cellStyle name="Heading 3" xfId="1" builtinId="1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769B5-A77E-4C2C-A4AD-030AFBC5920D}">
  <sheetPr>
    <tabColor rgb="FFFFFF00"/>
  </sheetPr>
  <dimension ref="A1:F132"/>
  <sheetViews>
    <sheetView zoomScaleNormal="100" workbookViewId="0">
      <selection activeCell="A14" sqref="A14"/>
    </sheetView>
  </sheetViews>
  <sheetFormatPr defaultRowHeight="15" x14ac:dyDescent="0.25"/>
  <cols>
    <col min="1" max="1" width="90.140625" bestFit="1" customWidth="1"/>
    <col min="2" max="2" width="57.85546875" bestFit="1" customWidth="1"/>
  </cols>
  <sheetData>
    <row r="1" spans="1:6" s="8" customFormat="1" ht="28.5" customHeight="1" x14ac:dyDescent="0.3">
      <c r="A1" s="8" t="s">
        <v>610</v>
      </c>
      <c r="B1" s="8" t="s">
        <v>609</v>
      </c>
      <c r="C1" s="8" t="s">
        <v>611</v>
      </c>
      <c r="F1" s="8" t="s">
        <v>634</v>
      </c>
    </row>
    <row r="2" spans="1:6" ht="15.75" thickBot="1" x14ac:dyDescent="0.3">
      <c r="A2" s="7" t="s">
        <v>510</v>
      </c>
      <c r="B2" s="6" t="s">
        <v>538</v>
      </c>
      <c r="C2" s="6"/>
      <c r="D2" s="6"/>
      <c r="E2" s="6"/>
      <c r="F2" s="6"/>
    </row>
    <row r="3" spans="1:6" x14ac:dyDescent="0.25">
      <c r="A3" t="s">
        <v>612</v>
      </c>
    </row>
    <row r="4" spans="1:6" x14ac:dyDescent="0.25">
      <c r="A4" t="s">
        <v>557</v>
      </c>
    </row>
    <row r="5" spans="1:6" x14ac:dyDescent="0.25">
      <c r="A5" t="s">
        <v>558</v>
      </c>
    </row>
    <row r="6" spans="1:6" x14ac:dyDescent="0.25">
      <c r="A6" t="s">
        <v>559</v>
      </c>
    </row>
    <row r="8" spans="1:6" ht="15.75" thickBot="1" x14ac:dyDescent="0.3">
      <c r="A8" s="7" t="s">
        <v>511</v>
      </c>
      <c r="B8" s="6" t="s">
        <v>539</v>
      </c>
      <c r="C8" s="6"/>
      <c r="D8" s="6"/>
      <c r="E8" s="6"/>
      <c r="F8" s="6"/>
    </row>
    <row r="9" spans="1:6" x14ac:dyDescent="0.25">
      <c r="A9" t="s">
        <v>612</v>
      </c>
    </row>
    <row r="10" spans="1:6" x14ac:dyDescent="0.25">
      <c r="A10" t="s">
        <v>560</v>
      </c>
    </row>
    <row r="11" spans="1:6" x14ac:dyDescent="0.25">
      <c r="A11" t="s">
        <v>561</v>
      </c>
    </row>
    <row r="13" spans="1:6" ht="15.75" thickBot="1" x14ac:dyDescent="0.3">
      <c r="A13" s="7" t="s">
        <v>512</v>
      </c>
      <c r="B13" s="6" t="s">
        <v>540</v>
      </c>
      <c r="C13" s="6"/>
      <c r="D13" s="6"/>
      <c r="E13" s="6"/>
      <c r="F13" s="6"/>
    </row>
    <row r="14" spans="1:6" x14ac:dyDescent="0.25">
      <c r="A14" t="s">
        <v>612</v>
      </c>
      <c r="F14" s="9">
        <v>260202</v>
      </c>
    </row>
    <row r="15" spans="1:6" x14ac:dyDescent="0.25">
      <c r="A15" t="s">
        <v>562</v>
      </c>
    </row>
    <row r="16" spans="1:6" x14ac:dyDescent="0.25">
      <c r="A16" t="s">
        <v>563</v>
      </c>
    </row>
    <row r="18" spans="1:6" ht="15.75" thickBot="1" x14ac:dyDescent="0.3">
      <c r="A18" s="7" t="s">
        <v>513</v>
      </c>
      <c r="B18" s="6" t="s">
        <v>541</v>
      </c>
      <c r="C18" s="6"/>
      <c r="D18" s="6"/>
      <c r="E18" s="6"/>
      <c r="F18" s="6"/>
    </row>
    <row r="19" spans="1:6" x14ac:dyDescent="0.25">
      <c r="A19" t="s">
        <v>612</v>
      </c>
    </row>
    <row r="20" spans="1:6" x14ac:dyDescent="0.25">
      <c r="A20" t="s">
        <v>564</v>
      </c>
    </row>
    <row r="23" spans="1:6" ht="15.75" thickBot="1" x14ac:dyDescent="0.3">
      <c r="A23" s="7" t="s">
        <v>514</v>
      </c>
      <c r="B23" s="6" t="s">
        <v>542</v>
      </c>
      <c r="C23" s="6"/>
      <c r="D23" s="6"/>
      <c r="E23" s="6"/>
      <c r="F23" s="6"/>
    </row>
    <row r="24" spans="1:6" x14ac:dyDescent="0.25">
      <c r="A24" t="s">
        <v>612</v>
      </c>
    </row>
    <row r="25" spans="1:6" x14ac:dyDescent="0.25">
      <c r="A25" t="s">
        <v>565</v>
      </c>
    </row>
    <row r="28" spans="1:6" ht="15.75" thickBot="1" x14ac:dyDescent="0.3">
      <c r="A28" s="7" t="s">
        <v>515</v>
      </c>
      <c r="B28" s="6" t="s">
        <v>543</v>
      </c>
      <c r="C28" s="6"/>
      <c r="D28" s="6"/>
      <c r="E28" s="6"/>
      <c r="F28" s="6"/>
    </row>
    <row r="29" spans="1:6" x14ac:dyDescent="0.25">
      <c r="A29" t="s">
        <v>612</v>
      </c>
    </row>
    <row r="30" spans="1:6" x14ac:dyDescent="0.25">
      <c r="A30" t="s">
        <v>566</v>
      </c>
    </row>
    <row r="31" spans="1:6" x14ac:dyDescent="0.25">
      <c r="A31" t="s">
        <v>567</v>
      </c>
    </row>
    <row r="32" spans="1:6" x14ac:dyDescent="0.25">
      <c r="A32" t="s">
        <v>568</v>
      </c>
    </row>
    <row r="33" spans="1:6" x14ac:dyDescent="0.25">
      <c r="A33" t="s">
        <v>569</v>
      </c>
    </row>
    <row r="34" spans="1:6" x14ac:dyDescent="0.25">
      <c r="A34" t="s">
        <v>570</v>
      </c>
    </row>
    <row r="35" spans="1:6" x14ac:dyDescent="0.25">
      <c r="A35" t="s">
        <v>571</v>
      </c>
    </row>
    <row r="37" spans="1:6" ht="15.75" thickBot="1" x14ac:dyDescent="0.3">
      <c r="A37" s="7" t="s">
        <v>516</v>
      </c>
      <c r="B37" s="6" t="s">
        <v>544</v>
      </c>
      <c r="C37" s="6"/>
      <c r="D37" s="6"/>
      <c r="E37" s="6"/>
      <c r="F37" s="6"/>
    </row>
    <row r="38" spans="1:6" x14ac:dyDescent="0.25">
      <c r="A38" t="s">
        <v>612</v>
      </c>
    </row>
    <row r="39" spans="1:6" x14ac:dyDescent="0.25">
      <c r="A39" t="s">
        <v>572</v>
      </c>
    </row>
    <row r="42" spans="1:6" ht="15.75" thickBot="1" x14ac:dyDescent="0.3">
      <c r="A42" s="7" t="s">
        <v>517</v>
      </c>
      <c r="B42" s="6" t="s">
        <v>545</v>
      </c>
      <c r="C42" s="6"/>
      <c r="D42" s="6"/>
      <c r="E42" s="6"/>
      <c r="F42" s="6"/>
    </row>
    <row r="43" spans="1:6" x14ac:dyDescent="0.25">
      <c r="A43" t="s">
        <v>612</v>
      </c>
      <c r="F43" s="9">
        <v>260202</v>
      </c>
    </row>
    <row r="44" spans="1:6" x14ac:dyDescent="0.25">
      <c r="A44" t="s">
        <v>573</v>
      </c>
    </row>
    <row r="45" spans="1:6" x14ac:dyDescent="0.25">
      <c r="A45" t="s">
        <v>574</v>
      </c>
    </row>
    <row r="46" spans="1:6" x14ac:dyDescent="0.25">
      <c r="A46" t="s">
        <v>575</v>
      </c>
    </row>
    <row r="47" spans="1:6" x14ac:dyDescent="0.25">
      <c r="A47" t="s">
        <v>576</v>
      </c>
    </row>
    <row r="48" spans="1:6" x14ac:dyDescent="0.25">
      <c r="A48" t="s">
        <v>577</v>
      </c>
    </row>
    <row r="49" spans="1:6" x14ac:dyDescent="0.25">
      <c r="A49" t="s">
        <v>578</v>
      </c>
    </row>
    <row r="50" spans="1:6" x14ac:dyDescent="0.25">
      <c r="A50" t="s">
        <v>579</v>
      </c>
    </row>
    <row r="52" spans="1:6" ht="15.75" thickBot="1" x14ac:dyDescent="0.3">
      <c r="A52" s="7" t="s">
        <v>526</v>
      </c>
      <c r="B52" s="6" t="s">
        <v>546</v>
      </c>
      <c r="C52" s="6"/>
      <c r="D52" s="6"/>
      <c r="E52" s="6"/>
      <c r="F52" s="6"/>
    </row>
    <row r="53" spans="1:6" x14ac:dyDescent="0.25">
      <c r="A53" t="s">
        <v>612</v>
      </c>
    </row>
    <row r="54" spans="1:6" x14ac:dyDescent="0.25">
      <c r="A54" t="s">
        <v>580</v>
      </c>
    </row>
    <row r="57" spans="1:6" ht="15.75" thickBot="1" x14ac:dyDescent="0.3">
      <c r="A57" s="7" t="s">
        <v>518</v>
      </c>
      <c r="B57" s="6" t="s">
        <v>547</v>
      </c>
      <c r="C57" s="6"/>
      <c r="D57" s="6"/>
      <c r="E57" s="6"/>
      <c r="F57" s="6"/>
    </row>
    <row r="58" spans="1:6" x14ac:dyDescent="0.25">
      <c r="A58" t="s">
        <v>612</v>
      </c>
    </row>
    <row r="59" spans="1:6" x14ac:dyDescent="0.25">
      <c r="A59" t="s">
        <v>581</v>
      </c>
    </row>
    <row r="60" spans="1:6" x14ac:dyDescent="0.25">
      <c r="A60" t="s">
        <v>582</v>
      </c>
    </row>
    <row r="61" spans="1:6" x14ac:dyDescent="0.25">
      <c r="A61" t="s">
        <v>583</v>
      </c>
    </row>
    <row r="62" spans="1:6" x14ac:dyDescent="0.25">
      <c r="A62" t="s">
        <v>584</v>
      </c>
    </row>
    <row r="63" spans="1:6" x14ac:dyDescent="0.25">
      <c r="A63" t="s">
        <v>585</v>
      </c>
    </row>
    <row r="65" spans="1:6" ht="15.75" thickBot="1" x14ac:dyDescent="0.3">
      <c r="A65" s="7" t="s">
        <v>519</v>
      </c>
      <c r="B65" s="6" t="s">
        <v>548</v>
      </c>
      <c r="C65" s="6"/>
      <c r="D65" s="6"/>
      <c r="E65" s="6"/>
      <c r="F65" s="6"/>
    </row>
    <row r="66" spans="1:6" x14ac:dyDescent="0.25">
      <c r="A66" t="s">
        <v>612</v>
      </c>
    </row>
    <row r="68" spans="1:6" ht="15.75" thickBot="1" x14ac:dyDescent="0.3">
      <c r="A68" s="7" t="s">
        <v>520</v>
      </c>
      <c r="B68" s="6" t="s">
        <v>549</v>
      </c>
      <c r="C68" s="6"/>
      <c r="D68" s="6"/>
      <c r="E68" s="6"/>
      <c r="F68" s="6"/>
    </row>
    <row r="69" spans="1:6" x14ac:dyDescent="0.25">
      <c r="A69" t="s">
        <v>612</v>
      </c>
    </row>
    <row r="70" spans="1:6" x14ac:dyDescent="0.25">
      <c r="A70" t="s">
        <v>586</v>
      </c>
    </row>
    <row r="71" spans="1:6" x14ac:dyDescent="0.25">
      <c r="A71" t="s">
        <v>587</v>
      </c>
    </row>
    <row r="73" spans="1:6" ht="15.75" thickBot="1" x14ac:dyDescent="0.3">
      <c r="A73" s="7" t="s">
        <v>521</v>
      </c>
      <c r="B73" s="6" t="s">
        <v>550</v>
      </c>
      <c r="C73" s="6"/>
      <c r="D73" s="6"/>
      <c r="E73" s="6"/>
      <c r="F73" s="6"/>
    </row>
    <row r="74" spans="1:6" x14ac:dyDescent="0.25">
      <c r="A74" t="s">
        <v>612</v>
      </c>
    </row>
    <row r="75" spans="1:6" x14ac:dyDescent="0.25">
      <c r="A75" t="s">
        <v>588</v>
      </c>
    </row>
    <row r="76" spans="1:6" x14ac:dyDescent="0.25">
      <c r="A76" t="s">
        <v>589</v>
      </c>
    </row>
    <row r="77" spans="1:6" x14ac:dyDescent="0.25">
      <c r="A77" t="s">
        <v>590</v>
      </c>
    </row>
    <row r="79" spans="1:6" ht="15.75" thickBot="1" x14ac:dyDescent="0.3">
      <c r="A79" s="7" t="s">
        <v>522</v>
      </c>
      <c r="B79" s="6" t="s">
        <v>551</v>
      </c>
      <c r="C79" s="6"/>
      <c r="D79" s="6"/>
      <c r="E79" s="6"/>
      <c r="F79" s="6"/>
    </row>
    <row r="80" spans="1:6" x14ac:dyDescent="0.25">
      <c r="A80" t="s">
        <v>612</v>
      </c>
    </row>
    <row r="83" spans="1:6" ht="15.75" thickBot="1" x14ac:dyDescent="0.3">
      <c r="A83" s="7" t="s">
        <v>523</v>
      </c>
      <c r="B83" s="6" t="s">
        <v>552</v>
      </c>
      <c r="C83" s="6"/>
      <c r="D83" s="6"/>
      <c r="E83" s="6"/>
      <c r="F83" s="6"/>
    </row>
    <row r="84" spans="1:6" x14ac:dyDescent="0.25">
      <c r="A84" t="s">
        <v>612</v>
      </c>
    </row>
    <row r="87" spans="1:6" ht="15.75" thickBot="1" x14ac:dyDescent="0.3">
      <c r="A87" s="7" t="s">
        <v>524</v>
      </c>
      <c r="B87" s="6" t="s">
        <v>554</v>
      </c>
      <c r="C87" s="6"/>
      <c r="D87" s="6"/>
      <c r="E87" s="6"/>
      <c r="F87" s="6"/>
    </row>
    <row r="88" spans="1:6" x14ac:dyDescent="0.25">
      <c r="A88" t="s">
        <v>612</v>
      </c>
      <c r="B88" s="9" t="s">
        <v>555</v>
      </c>
    </row>
    <row r="91" spans="1:6" ht="15.75" thickBot="1" x14ac:dyDescent="0.3">
      <c r="A91" s="7" t="s">
        <v>525</v>
      </c>
      <c r="B91" s="6" t="s">
        <v>553</v>
      </c>
      <c r="C91" s="6"/>
      <c r="D91" s="6"/>
      <c r="E91" s="6"/>
      <c r="F91" s="6"/>
    </row>
    <row r="92" spans="1:6" x14ac:dyDescent="0.25">
      <c r="A92" t="s">
        <v>612</v>
      </c>
    </row>
    <row r="95" spans="1:6" ht="15.75" thickBot="1" x14ac:dyDescent="0.3">
      <c r="A95" s="7" t="s">
        <v>527</v>
      </c>
      <c r="B95" s="6" t="s">
        <v>556</v>
      </c>
      <c r="C95" s="6"/>
      <c r="D95" s="6"/>
      <c r="E95" s="6"/>
      <c r="F95" s="6"/>
    </row>
    <row r="96" spans="1:6" x14ac:dyDescent="0.25">
      <c r="A96" t="s">
        <v>612</v>
      </c>
    </row>
    <row r="97" spans="1:6" x14ac:dyDescent="0.25">
      <c r="A97" t="s">
        <v>591</v>
      </c>
    </row>
    <row r="100" spans="1:6" ht="15.75" thickBot="1" x14ac:dyDescent="0.3">
      <c r="A100" s="7" t="s">
        <v>532</v>
      </c>
      <c r="B100" s="6" t="s">
        <v>536</v>
      </c>
      <c r="C100" s="6"/>
      <c r="D100" s="6"/>
      <c r="E100" s="6"/>
      <c r="F100" s="6"/>
    </row>
    <row r="101" spans="1:6" x14ac:dyDescent="0.25">
      <c r="A101" t="s">
        <v>612</v>
      </c>
    </row>
    <row r="104" spans="1:6" ht="15.75" thickBot="1" x14ac:dyDescent="0.3">
      <c r="A104" s="7" t="s">
        <v>528</v>
      </c>
      <c r="B104" s="6" t="s">
        <v>533</v>
      </c>
      <c r="C104" s="6"/>
      <c r="D104" s="6"/>
      <c r="E104" s="6"/>
      <c r="F104" s="6"/>
    </row>
    <row r="105" spans="1:6" x14ac:dyDescent="0.25">
      <c r="A105" t="s">
        <v>612</v>
      </c>
    </row>
    <row r="106" spans="1:6" x14ac:dyDescent="0.25">
      <c r="A106" t="s">
        <v>593</v>
      </c>
    </row>
    <row r="107" spans="1:6" x14ac:dyDescent="0.25">
      <c r="A107" t="s">
        <v>594</v>
      </c>
    </row>
    <row r="108" spans="1:6" x14ac:dyDescent="0.25">
      <c r="A108" t="s">
        <v>592</v>
      </c>
    </row>
    <row r="109" spans="1:6" x14ac:dyDescent="0.25">
      <c r="A109" t="s">
        <v>595</v>
      </c>
    </row>
    <row r="111" spans="1:6" ht="15.75" thickBot="1" x14ac:dyDescent="0.3">
      <c r="A111" s="7" t="s">
        <v>529</v>
      </c>
      <c r="B111" s="6" t="s">
        <v>534</v>
      </c>
      <c r="C111" s="6"/>
      <c r="D111" s="6"/>
      <c r="E111" s="6"/>
      <c r="F111" s="6"/>
    </row>
    <row r="112" spans="1:6" x14ac:dyDescent="0.25">
      <c r="A112" t="s">
        <v>612</v>
      </c>
    </row>
    <row r="115" spans="1:6" ht="15.75" thickBot="1" x14ac:dyDescent="0.3">
      <c r="A115" s="7" t="s">
        <v>530</v>
      </c>
      <c r="B115" s="6" t="s">
        <v>535</v>
      </c>
      <c r="C115" s="6"/>
      <c r="D115" s="6"/>
      <c r="E115" s="6"/>
      <c r="F115" s="6"/>
    </row>
    <row r="116" spans="1:6" x14ac:dyDescent="0.25">
      <c r="A116" t="s">
        <v>612</v>
      </c>
    </row>
    <row r="117" spans="1:6" x14ac:dyDescent="0.25">
      <c r="A117" t="s">
        <v>596</v>
      </c>
    </row>
    <row r="118" spans="1:6" x14ac:dyDescent="0.25">
      <c r="A118" t="s">
        <v>597</v>
      </c>
    </row>
    <row r="119" spans="1:6" x14ac:dyDescent="0.25">
      <c r="A119" t="s">
        <v>598</v>
      </c>
    </row>
    <row r="120" spans="1:6" x14ac:dyDescent="0.25">
      <c r="A120" t="s">
        <v>599</v>
      </c>
    </row>
    <row r="121" spans="1:6" x14ac:dyDescent="0.25">
      <c r="A121" t="s">
        <v>600</v>
      </c>
    </row>
    <row r="122" spans="1:6" x14ac:dyDescent="0.25">
      <c r="A122" t="s">
        <v>601</v>
      </c>
    </row>
    <row r="123" spans="1:6" x14ac:dyDescent="0.25">
      <c r="A123" t="s">
        <v>602</v>
      </c>
    </row>
    <row r="124" spans="1:6" x14ac:dyDescent="0.25">
      <c r="A124" t="s">
        <v>603</v>
      </c>
    </row>
    <row r="125" spans="1:6" x14ac:dyDescent="0.25">
      <c r="A125" t="s">
        <v>604</v>
      </c>
    </row>
    <row r="126" spans="1:6" x14ac:dyDescent="0.25">
      <c r="A126" t="s">
        <v>605</v>
      </c>
    </row>
    <row r="127" spans="1:6" x14ac:dyDescent="0.25">
      <c r="A127" t="s">
        <v>606</v>
      </c>
    </row>
    <row r="129" spans="1:2" ht="15.75" thickBot="1" x14ac:dyDescent="0.3">
      <c r="A129" s="7" t="s">
        <v>531</v>
      </c>
      <c r="B129" s="6" t="s">
        <v>537</v>
      </c>
    </row>
    <row r="130" spans="1:2" ht="15.75" thickBot="1" x14ac:dyDescent="0.3">
      <c r="A130" t="s">
        <v>612</v>
      </c>
      <c r="B130" s="6"/>
    </row>
    <row r="131" spans="1:2" x14ac:dyDescent="0.25">
      <c r="A131" t="s">
        <v>607</v>
      </c>
    </row>
    <row r="132" spans="1:2" x14ac:dyDescent="0.25">
      <c r="A132" t="s">
        <v>608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D4604-6735-4BAB-A260-3ED112DA39AC}">
  <dimension ref="A1:C89"/>
  <sheetViews>
    <sheetView zoomScale="110" zoomScaleNormal="110" workbookViewId="0">
      <selection activeCell="A66" sqref="A66:A69"/>
    </sheetView>
  </sheetViews>
  <sheetFormatPr defaultRowHeight="15" x14ac:dyDescent="0.25"/>
  <cols>
    <col min="1" max="1" width="12.7109375" bestFit="1" customWidth="1"/>
    <col min="2" max="2" width="9.85546875" customWidth="1"/>
  </cols>
  <sheetData>
    <row r="1" spans="1:3" x14ac:dyDescent="0.25">
      <c r="A1" t="s">
        <v>128</v>
      </c>
      <c r="B1" t="s">
        <v>344</v>
      </c>
      <c r="C1" t="s">
        <v>345</v>
      </c>
    </row>
    <row r="2" spans="1:3" x14ac:dyDescent="0.25">
      <c r="A2" t="s">
        <v>5</v>
      </c>
      <c r="B2" t="s">
        <v>129</v>
      </c>
      <c r="C2">
        <v>0.05</v>
      </c>
    </row>
    <row r="3" spans="1:3" x14ac:dyDescent="0.25">
      <c r="A3" t="s">
        <v>5</v>
      </c>
      <c r="B3" t="s">
        <v>131</v>
      </c>
      <c r="C3">
        <v>999</v>
      </c>
    </row>
    <row r="4" spans="1:3" x14ac:dyDescent="0.25">
      <c r="A4" t="s">
        <v>5</v>
      </c>
      <c r="B4" t="s">
        <v>132</v>
      </c>
      <c r="C4" s="5">
        <v>1000000000</v>
      </c>
    </row>
    <row r="5" spans="1:3" x14ac:dyDescent="0.25">
      <c r="A5" t="s">
        <v>5</v>
      </c>
      <c r="B5" t="s">
        <v>130</v>
      </c>
    </row>
    <row r="6" spans="1:3" x14ac:dyDescent="0.25">
      <c r="A6" t="s">
        <v>138</v>
      </c>
      <c r="B6" t="s">
        <v>129</v>
      </c>
      <c r="C6">
        <v>1E-4</v>
      </c>
    </row>
    <row r="7" spans="1:3" x14ac:dyDescent="0.25">
      <c r="A7" t="s">
        <v>138</v>
      </c>
      <c r="B7" t="s">
        <v>131</v>
      </c>
      <c r="C7">
        <v>999</v>
      </c>
    </row>
    <row r="8" spans="1:3" x14ac:dyDescent="0.25">
      <c r="A8" t="s">
        <v>138</v>
      </c>
      <c r="B8" t="s">
        <v>132</v>
      </c>
      <c r="C8" s="5">
        <v>1000000000</v>
      </c>
    </row>
    <row r="9" spans="1:3" x14ac:dyDescent="0.25">
      <c r="A9" t="s">
        <v>138</v>
      </c>
      <c r="B9" t="s">
        <v>130</v>
      </c>
    </row>
    <row r="10" spans="1:3" x14ac:dyDescent="0.25">
      <c r="A10" t="s">
        <v>137</v>
      </c>
      <c r="B10" t="s">
        <v>129</v>
      </c>
      <c r="C10">
        <v>1E-4</v>
      </c>
    </row>
    <row r="11" spans="1:3" x14ac:dyDescent="0.25">
      <c r="A11" t="s">
        <v>137</v>
      </c>
      <c r="B11" t="s">
        <v>131</v>
      </c>
      <c r="C11">
        <v>999</v>
      </c>
    </row>
    <row r="12" spans="1:3" x14ac:dyDescent="0.25">
      <c r="A12" t="s">
        <v>137</v>
      </c>
      <c r="B12" t="s">
        <v>132</v>
      </c>
      <c r="C12" s="5">
        <v>1000000000</v>
      </c>
    </row>
    <row r="13" spans="1:3" x14ac:dyDescent="0.25">
      <c r="A13" t="s">
        <v>137</v>
      </c>
      <c r="B13" t="s">
        <v>130</v>
      </c>
    </row>
    <row r="14" spans="1:3" x14ac:dyDescent="0.25">
      <c r="A14" t="s">
        <v>140</v>
      </c>
      <c r="B14" t="s">
        <v>129</v>
      </c>
      <c r="C14">
        <v>1E-4</v>
      </c>
    </row>
    <row r="15" spans="1:3" x14ac:dyDescent="0.25">
      <c r="A15" t="s">
        <v>140</v>
      </c>
      <c r="B15" t="s">
        <v>131</v>
      </c>
      <c r="C15">
        <v>999</v>
      </c>
    </row>
    <row r="16" spans="1:3" x14ac:dyDescent="0.25">
      <c r="A16" t="s">
        <v>140</v>
      </c>
      <c r="B16" t="s">
        <v>132</v>
      </c>
      <c r="C16" s="5">
        <v>1000000000</v>
      </c>
    </row>
    <row r="17" spans="1:3" x14ac:dyDescent="0.25">
      <c r="A17" t="s">
        <v>140</v>
      </c>
      <c r="B17" t="s">
        <v>130</v>
      </c>
    </row>
    <row r="18" spans="1:3" x14ac:dyDescent="0.25">
      <c r="A18" t="s">
        <v>135</v>
      </c>
      <c r="B18" t="s">
        <v>129</v>
      </c>
      <c r="C18">
        <v>10.65</v>
      </c>
    </row>
    <row r="19" spans="1:3" x14ac:dyDescent="0.25">
      <c r="A19" t="s">
        <v>135</v>
      </c>
      <c r="B19" t="s">
        <v>131</v>
      </c>
      <c r="C19">
        <v>999</v>
      </c>
    </row>
    <row r="20" spans="1:3" x14ac:dyDescent="0.25">
      <c r="A20" t="s">
        <v>135</v>
      </c>
      <c r="B20" t="s">
        <v>132</v>
      </c>
      <c r="C20" s="5">
        <v>1000000000</v>
      </c>
    </row>
    <row r="21" spans="1:3" x14ac:dyDescent="0.25">
      <c r="A21" t="s">
        <v>135</v>
      </c>
      <c r="B21" t="s">
        <v>130</v>
      </c>
    </row>
    <row r="22" spans="1:3" x14ac:dyDescent="0.25">
      <c r="A22" t="s">
        <v>144</v>
      </c>
      <c r="B22" t="s">
        <v>129</v>
      </c>
      <c r="C22">
        <v>1</v>
      </c>
    </row>
    <row r="23" spans="1:3" x14ac:dyDescent="0.25">
      <c r="A23" t="s">
        <v>144</v>
      </c>
      <c r="B23" t="s">
        <v>131</v>
      </c>
      <c r="C23">
        <v>999</v>
      </c>
    </row>
    <row r="24" spans="1:3" x14ac:dyDescent="0.25">
      <c r="A24" t="s">
        <v>144</v>
      </c>
      <c r="B24" t="s">
        <v>132</v>
      </c>
      <c r="C24" s="5">
        <v>1000000000</v>
      </c>
    </row>
    <row r="25" spans="1:3" x14ac:dyDescent="0.25">
      <c r="A25" t="s">
        <v>144</v>
      </c>
      <c r="B25" t="s">
        <v>130</v>
      </c>
    </row>
    <row r="26" spans="1:3" x14ac:dyDescent="0.25">
      <c r="A26" t="s">
        <v>57</v>
      </c>
      <c r="B26" t="s">
        <v>129</v>
      </c>
      <c r="C26">
        <v>1.83</v>
      </c>
    </row>
    <row r="27" spans="1:3" x14ac:dyDescent="0.25">
      <c r="A27" t="s">
        <v>57</v>
      </c>
      <c r="B27" t="s">
        <v>131</v>
      </c>
      <c r="C27">
        <v>999</v>
      </c>
    </row>
    <row r="28" spans="1:3" x14ac:dyDescent="0.25">
      <c r="A28" t="s">
        <v>57</v>
      </c>
      <c r="B28" t="s">
        <v>132</v>
      </c>
      <c r="C28" s="5">
        <v>1000000000</v>
      </c>
    </row>
    <row r="29" spans="1:3" x14ac:dyDescent="0.25">
      <c r="A29" t="s">
        <v>57</v>
      </c>
      <c r="B29" t="s">
        <v>130</v>
      </c>
    </row>
    <row r="30" spans="1:3" x14ac:dyDescent="0.25">
      <c r="A30" t="s">
        <v>55</v>
      </c>
      <c r="B30" t="s">
        <v>129</v>
      </c>
      <c r="C30">
        <v>0.4</v>
      </c>
    </row>
    <row r="31" spans="1:3" x14ac:dyDescent="0.25">
      <c r="A31" t="s">
        <v>55</v>
      </c>
      <c r="B31" t="s">
        <v>131</v>
      </c>
      <c r="C31">
        <v>999</v>
      </c>
    </row>
    <row r="32" spans="1:3" x14ac:dyDescent="0.25">
      <c r="A32" t="s">
        <v>55</v>
      </c>
      <c r="B32" t="s">
        <v>132</v>
      </c>
      <c r="C32" s="5">
        <v>1000000000</v>
      </c>
    </row>
    <row r="33" spans="1:3" x14ac:dyDescent="0.25">
      <c r="A33" t="s">
        <v>55</v>
      </c>
      <c r="B33" t="s">
        <v>130</v>
      </c>
    </row>
    <row r="34" spans="1:3" x14ac:dyDescent="0.25">
      <c r="A34" t="s">
        <v>48</v>
      </c>
      <c r="B34" t="s">
        <v>129</v>
      </c>
      <c r="C34">
        <v>0.7</v>
      </c>
    </row>
    <row r="35" spans="1:3" x14ac:dyDescent="0.25">
      <c r="A35" t="s">
        <v>48</v>
      </c>
      <c r="B35" t="s">
        <v>131</v>
      </c>
      <c r="C35">
        <v>999</v>
      </c>
    </row>
    <row r="36" spans="1:3" x14ac:dyDescent="0.25">
      <c r="A36" t="s">
        <v>48</v>
      </c>
      <c r="B36" t="s">
        <v>132</v>
      </c>
      <c r="C36" s="5">
        <v>1000000000</v>
      </c>
    </row>
    <row r="37" spans="1:3" x14ac:dyDescent="0.25">
      <c r="A37" t="s">
        <v>48</v>
      </c>
      <c r="B37" t="s">
        <v>130</v>
      </c>
    </row>
    <row r="38" spans="1:3" x14ac:dyDescent="0.25">
      <c r="A38" t="s">
        <v>58</v>
      </c>
      <c r="B38" t="s">
        <v>129</v>
      </c>
      <c r="C38">
        <v>2.6120000000000001</v>
      </c>
    </row>
    <row r="39" spans="1:3" x14ac:dyDescent="0.25">
      <c r="A39" t="s">
        <v>58</v>
      </c>
      <c r="B39" t="s">
        <v>131</v>
      </c>
      <c r="C39">
        <v>999</v>
      </c>
    </row>
    <row r="40" spans="1:3" x14ac:dyDescent="0.25">
      <c r="A40" t="s">
        <v>58</v>
      </c>
      <c r="B40" t="s">
        <v>132</v>
      </c>
      <c r="C40" s="5">
        <v>1000000000</v>
      </c>
    </row>
    <row r="41" spans="1:3" x14ac:dyDescent="0.25">
      <c r="A41" t="s">
        <v>58</v>
      </c>
      <c r="B41" t="s">
        <v>130</v>
      </c>
    </row>
    <row r="42" spans="1:3" x14ac:dyDescent="0.25">
      <c r="A42" t="s">
        <v>133</v>
      </c>
      <c r="B42" t="s">
        <v>129</v>
      </c>
      <c r="C42">
        <v>20</v>
      </c>
    </row>
    <row r="43" spans="1:3" x14ac:dyDescent="0.25">
      <c r="A43" t="s">
        <v>133</v>
      </c>
      <c r="B43" t="s">
        <v>131</v>
      </c>
      <c r="C43">
        <v>999</v>
      </c>
    </row>
    <row r="44" spans="1:3" x14ac:dyDescent="0.25">
      <c r="A44" t="s">
        <v>133</v>
      </c>
      <c r="B44" t="s">
        <v>132</v>
      </c>
      <c r="C44" s="5">
        <v>1000000000</v>
      </c>
    </row>
    <row r="45" spans="1:3" x14ac:dyDescent="0.25">
      <c r="A45" t="s">
        <v>133</v>
      </c>
      <c r="B45" t="s">
        <v>130</v>
      </c>
    </row>
    <row r="46" spans="1:3" x14ac:dyDescent="0.25">
      <c r="A46" t="s">
        <v>92</v>
      </c>
      <c r="B46" t="s">
        <v>129</v>
      </c>
      <c r="C46">
        <v>1</v>
      </c>
    </row>
    <row r="47" spans="1:3" x14ac:dyDescent="0.25">
      <c r="A47" t="s">
        <v>92</v>
      </c>
      <c r="B47" t="s">
        <v>131</v>
      </c>
      <c r="C47">
        <v>999</v>
      </c>
    </row>
    <row r="48" spans="1:3" x14ac:dyDescent="0.25">
      <c r="A48" t="s">
        <v>92</v>
      </c>
      <c r="B48" t="s">
        <v>132</v>
      </c>
      <c r="C48" s="5">
        <v>1000000000</v>
      </c>
    </row>
    <row r="49" spans="1:3" x14ac:dyDescent="0.25">
      <c r="A49" t="s">
        <v>92</v>
      </c>
      <c r="B49" t="s">
        <v>130</v>
      </c>
    </row>
    <row r="50" spans="1:3" x14ac:dyDescent="0.25">
      <c r="A50" t="s">
        <v>139</v>
      </c>
      <c r="B50" t="s">
        <v>129</v>
      </c>
      <c r="C50">
        <v>1E-4</v>
      </c>
    </row>
    <row r="51" spans="1:3" x14ac:dyDescent="0.25">
      <c r="A51" t="s">
        <v>139</v>
      </c>
      <c r="B51" t="s">
        <v>131</v>
      </c>
      <c r="C51">
        <v>999</v>
      </c>
    </row>
    <row r="52" spans="1:3" x14ac:dyDescent="0.25">
      <c r="A52" t="s">
        <v>139</v>
      </c>
      <c r="B52" t="s">
        <v>132</v>
      </c>
      <c r="C52" s="5">
        <v>1000000000</v>
      </c>
    </row>
    <row r="53" spans="1:3" x14ac:dyDescent="0.25">
      <c r="A53" t="s">
        <v>139</v>
      </c>
      <c r="B53" t="s">
        <v>130</v>
      </c>
    </row>
    <row r="54" spans="1:3" x14ac:dyDescent="0.25">
      <c r="A54" t="s">
        <v>141</v>
      </c>
      <c r="B54" t="s">
        <v>129</v>
      </c>
      <c r="C54">
        <v>1E-4</v>
      </c>
    </row>
    <row r="55" spans="1:3" x14ac:dyDescent="0.25">
      <c r="A55" t="s">
        <v>141</v>
      </c>
      <c r="B55" t="s">
        <v>131</v>
      </c>
      <c r="C55">
        <v>999</v>
      </c>
    </row>
    <row r="56" spans="1:3" x14ac:dyDescent="0.25">
      <c r="A56" t="s">
        <v>141</v>
      </c>
      <c r="B56" t="s">
        <v>132</v>
      </c>
      <c r="C56" s="5">
        <v>1000000000</v>
      </c>
    </row>
    <row r="57" spans="1:3" x14ac:dyDescent="0.25">
      <c r="A57" t="s">
        <v>141</v>
      </c>
      <c r="B57" t="s">
        <v>130</v>
      </c>
    </row>
    <row r="58" spans="1:3" x14ac:dyDescent="0.25">
      <c r="A58" t="s">
        <v>64</v>
      </c>
      <c r="B58" t="s">
        <v>129</v>
      </c>
      <c r="C58">
        <v>1.3</v>
      </c>
    </row>
    <row r="59" spans="1:3" x14ac:dyDescent="0.25">
      <c r="A59" t="s">
        <v>64</v>
      </c>
      <c r="B59" t="s">
        <v>131</v>
      </c>
      <c r="C59">
        <v>999</v>
      </c>
    </row>
    <row r="60" spans="1:3" x14ac:dyDescent="0.25">
      <c r="A60" t="s">
        <v>64</v>
      </c>
      <c r="B60" t="s">
        <v>132</v>
      </c>
      <c r="C60" s="5">
        <v>1000000000</v>
      </c>
    </row>
    <row r="61" spans="1:3" x14ac:dyDescent="0.25">
      <c r="A61" t="s">
        <v>64</v>
      </c>
      <c r="B61" t="s">
        <v>130</v>
      </c>
    </row>
    <row r="62" spans="1:3" x14ac:dyDescent="0.25">
      <c r="A62" t="s">
        <v>24</v>
      </c>
      <c r="B62" t="s">
        <v>129</v>
      </c>
      <c r="C62">
        <v>1.28</v>
      </c>
    </row>
    <row r="63" spans="1:3" x14ac:dyDescent="0.25">
      <c r="A63" t="s">
        <v>24</v>
      </c>
      <c r="B63" t="s">
        <v>131</v>
      </c>
      <c r="C63">
        <v>999</v>
      </c>
    </row>
    <row r="64" spans="1:3" x14ac:dyDescent="0.25">
      <c r="A64" t="s">
        <v>24</v>
      </c>
      <c r="B64" t="s">
        <v>132</v>
      </c>
      <c r="C64" s="5">
        <v>1000000000</v>
      </c>
    </row>
    <row r="65" spans="1:3" x14ac:dyDescent="0.25">
      <c r="A65" t="s">
        <v>24</v>
      </c>
      <c r="B65" t="s">
        <v>130</v>
      </c>
    </row>
    <row r="66" spans="1:3" x14ac:dyDescent="0.25">
      <c r="A66" t="s">
        <v>613</v>
      </c>
      <c r="B66" t="s">
        <v>129</v>
      </c>
      <c r="C66">
        <v>1</v>
      </c>
    </row>
    <row r="67" spans="1:3" x14ac:dyDescent="0.25">
      <c r="A67" t="s">
        <v>613</v>
      </c>
      <c r="B67" t="s">
        <v>131</v>
      </c>
      <c r="C67">
        <v>999</v>
      </c>
    </row>
    <row r="68" spans="1:3" x14ac:dyDescent="0.25">
      <c r="A68" t="s">
        <v>613</v>
      </c>
      <c r="B68" t="s">
        <v>132</v>
      </c>
      <c r="C68" s="5">
        <v>1000000000</v>
      </c>
    </row>
    <row r="69" spans="1:3" x14ac:dyDescent="0.25">
      <c r="A69" t="s">
        <v>613</v>
      </c>
      <c r="B69" t="s">
        <v>130</v>
      </c>
    </row>
    <row r="70" spans="1:3" x14ac:dyDescent="0.25">
      <c r="A70" t="s">
        <v>25</v>
      </c>
      <c r="B70" t="s">
        <v>129</v>
      </c>
      <c r="C70">
        <v>1E-4</v>
      </c>
    </row>
    <row r="71" spans="1:3" x14ac:dyDescent="0.25">
      <c r="A71" t="s">
        <v>25</v>
      </c>
      <c r="B71" t="s">
        <v>131</v>
      </c>
      <c r="C71">
        <v>999</v>
      </c>
    </row>
    <row r="72" spans="1:3" x14ac:dyDescent="0.25">
      <c r="A72" t="s">
        <v>25</v>
      </c>
      <c r="B72" t="s">
        <v>132</v>
      </c>
      <c r="C72" s="5">
        <v>1000000000</v>
      </c>
    </row>
    <row r="73" spans="1:3" x14ac:dyDescent="0.25">
      <c r="A73" t="s">
        <v>25</v>
      </c>
      <c r="B73" t="s">
        <v>130</v>
      </c>
    </row>
    <row r="74" spans="1:3" x14ac:dyDescent="0.25">
      <c r="A74" t="s">
        <v>136</v>
      </c>
      <c r="B74" t="s">
        <v>129</v>
      </c>
      <c r="C74">
        <v>1E-4</v>
      </c>
    </row>
    <row r="75" spans="1:3" x14ac:dyDescent="0.25">
      <c r="A75" t="s">
        <v>136</v>
      </c>
      <c r="B75" t="s">
        <v>131</v>
      </c>
      <c r="C75">
        <v>999</v>
      </c>
    </row>
    <row r="76" spans="1:3" x14ac:dyDescent="0.25">
      <c r="A76" t="s">
        <v>136</v>
      </c>
      <c r="B76" t="s">
        <v>132</v>
      </c>
      <c r="C76" s="5">
        <v>1000000000</v>
      </c>
    </row>
    <row r="77" spans="1:3" x14ac:dyDescent="0.25">
      <c r="A77" t="s">
        <v>136</v>
      </c>
      <c r="B77" t="s">
        <v>130</v>
      </c>
    </row>
    <row r="78" spans="1:3" x14ac:dyDescent="0.25">
      <c r="A78" t="s">
        <v>134</v>
      </c>
      <c r="B78" t="s">
        <v>129</v>
      </c>
      <c r="C78">
        <v>155</v>
      </c>
    </row>
    <row r="79" spans="1:3" x14ac:dyDescent="0.25">
      <c r="A79" t="s">
        <v>134</v>
      </c>
      <c r="B79" t="s">
        <v>131</v>
      </c>
      <c r="C79">
        <v>999</v>
      </c>
    </row>
    <row r="80" spans="1:3" x14ac:dyDescent="0.25">
      <c r="A80" t="s">
        <v>134</v>
      </c>
      <c r="B80" t="s">
        <v>132</v>
      </c>
      <c r="C80" s="5">
        <v>1000000000</v>
      </c>
    </row>
    <row r="81" spans="1:3" x14ac:dyDescent="0.25">
      <c r="A81" t="s">
        <v>134</v>
      </c>
      <c r="B81" t="s">
        <v>130</v>
      </c>
    </row>
    <row r="82" spans="1:3" x14ac:dyDescent="0.25">
      <c r="A82" t="s">
        <v>142</v>
      </c>
      <c r="B82" t="s">
        <v>129</v>
      </c>
      <c r="C82">
        <v>0.1</v>
      </c>
    </row>
    <row r="83" spans="1:3" x14ac:dyDescent="0.25">
      <c r="A83" t="s">
        <v>142</v>
      </c>
      <c r="B83" t="s">
        <v>131</v>
      </c>
      <c r="C83">
        <v>999</v>
      </c>
    </row>
    <row r="84" spans="1:3" x14ac:dyDescent="0.25">
      <c r="A84" t="s">
        <v>142</v>
      </c>
      <c r="B84" t="s">
        <v>132</v>
      </c>
      <c r="C84" s="5">
        <v>1000000000</v>
      </c>
    </row>
    <row r="85" spans="1:3" x14ac:dyDescent="0.25">
      <c r="A85" t="s">
        <v>142</v>
      </c>
      <c r="B85" t="s">
        <v>130</v>
      </c>
    </row>
    <row r="86" spans="1:3" x14ac:dyDescent="0.25">
      <c r="A86" t="s">
        <v>143</v>
      </c>
      <c r="B86" t="s">
        <v>129</v>
      </c>
      <c r="C86">
        <v>0.1</v>
      </c>
    </row>
    <row r="87" spans="1:3" x14ac:dyDescent="0.25">
      <c r="A87" t="s">
        <v>143</v>
      </c>
      <c r="B87" t="s">
        <v>131</v>
      </c>
      <c r="C87">
        <v>999</v>
      </c>
    </row>
    <row r="88" spans="1:3" x14ac:dyDescent="0.25">
      <c r="A88" t="s">
        <v>143</v>
      </c>
      <c r="B88" t="s">
        <v>132</v>
      </c>
      <c r="C88" s="5">
        <v>1000000000</v>
      </c>
    </row>
    <row r="89" spans="1:3" x14ac:dyDescent="0.25">
      <c r="A89" t="s">
        <v>143</v>
      </c>
      <c r="B89" t="s">
        <v>130</v>
      </c>
    </row>
  </sheetData>
  <autoFilter ref="A1:C1" xr:uid="{F64D4604-6735-4BAB-A260-3ED112DA39AC}">
    <sortState xmlns:xlrd2="http://schemas.microsoft.com/office/spreadsheetml/2017/richdata2" ref="A2:C89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EDEA-E1C9-4B25-ADDE-06B6FB916511}">
  <dimension ref="A1:D131"/>
  <sheetViews>
    <sheetView workbookViewId="0">
      <selection activeCell="G43" sqref="G43"/>
    </sheetView>
  </sheetViews>
  <sheetFormatPr defaultRowHeight="15" x14ac:dyDescent="0.25"/>
  <cols>
    <col min="1" max="1" width="9.28515625" customWidth="1"/>
    <col min="2" max="2" width="16" customWidth="1"/>
  </cols>
  <sheetData>
    <row r="1" spans="1:4" x14ac:dyDescent="0.25">
      <c r="A1" t="s">
        <v>146</v>
      </c>
      <c r="B1" t="s">
        <v>147</v>
      </c>
      <c r="C1" t="s">
        <v>344</v>
      </c>
      <c r="D1" t="s">
        <v>345</v>
      </c>
    </row>
    <row r="2" spans="1:4" x14ac:dyDescent="0.25">
      <c r="A2" t="s">
        <v>148</v>
      </c>
      <c r="B2" t="s">
        <v>149</v>
      </c>
      <c r="C2" t="s">
        <v>129</v>
      </c>
      <c r="D2">
        <v>1.2</v>
      </c>
    </row>
    <row r="3" spans="1:4" x14ac:dyDescent="0.25">
      <c r="A3" t="s">
        <v>148</v>
      </c>
      <c r="B3" t="s">
        <v>149</v>
      </c>
      <c r="C3" t="s">
        <v>130</v>
      </c>
      <c r="D3">
        <v>0.3</v>
      </c>
    </row>
    <row r="4" spans="1:4" x14ac:dyDescent="0.25">
      <c r="A4" t="s">
        <v>148</v>
      </c>
      <c r="B4" t="s">
        <v>149</v>
      </c>
      <c r="C4" t="s">
        <v>131</v>
      </c>
      <c r="D4">
        <v>1</v>
      </c>
    </row>
    <row r="5" spans="1:4" x14ac:dyDescent="0.25">
      <c r="A5" t="s">
        <v>148</v>
      </c>
      <c r="B5" t="s">
        <v>149</v>
      </c>
      <c r="C5" t="s">
        <v>145</v>
      </c>
    </row>
    <row r="6" spans="1:4" x14ac:dyDescent="0.25">
      <c r="A6" t="s">
        <v>148</v>
      </c>
      <c r="B6" t="s">
        <v>149</v>
      </c>
      <c r="C6" t="s">
        <v>132</v>
      </c>
      <c r="D6">
        <v>0.6</v>
      </c>
    </row>
    <row r="7" spans="1:4" x14ac:dyDescent="0.25">
      <c r="A7" t="s">
        <v>150</v>
      </c>
      <c r="B7" t="s">
        <v>149</v>
      </c>
      <c r="C7" t="s">
        <v>129</v>
      </c>
      <c r="D7">
        <v>1.2</v>
      </c>
    </row>
    <row r="8" spans="1:4" x14ac:dyDescent="0.25">
      <c r="A8" t="s">
        <v>150</v>
      </c>
      <c r="B8" t="s">
        <v>149</v>
      </c>
      <c r="C8" t="s">
        <v>130</v>
      </c>
      <c r="D8">
        <v>2.9</v>
      </c>
    </row>
    <row r="9" spans="1:4" x14ac:dyDescent="0.25">
      <c r="A9" t="s">
        <v>150</v>
      </c>
      <c r="B9" t="s">
        <v>149</v>
      </c>
      <c r="C9" t="s">
        <v>131</v>
      </c>
      <c r="D9">
        <v>1</v>
      </c>
    </row>
    <row r="10" spans="1:4" x14ac:dyDescent="0.25">
      <c r="A10" t="s">
        <v>150</v>
      </c>
      <c r="B10" t="s">
        <v>149</v>
      </c>
      <c r="C10" t="s">
        <v>145</v>
      </c>
    </row>
    <row r="11" spans="1:4" x14ac:dyDescent="0.25">
      <c r="A11" t="s">
        <v>150</v>
      </c>
      <c r="B11" t="s">
        <v>149</v>
      </c>
      <c r="C11" t="s">
        <v>132</v>
      </c>
      <c r="D11">
        <v>5.8</v>
      </c>
    </row>
    <row r="12" spans="1:4" x14ac:dyDescent="0.25">
      <c r="A12" t="s">
        <v>151</v>
      </c>
      <c r="B12" t="s">
        <v>149</v>
      </c>
      <c r="C12" t="s">
        <v>129</v>
      </c>
      <c r="D12">
        <v>1.2</v>
      </c>
    </row>
    <row r="13" spans="1:4" x14ac:dyDescent="0.25">
      <c r="A13" t="s">
        <v>151</v>
      </c>
      <c r="B13" t="s">
        <v>149</v>
      </c>
      <c r="C13" t="s">
        <v>130</v>
      </c>
      <c r="D13">
        <v>26.2</v>
      </c>
    </row>
    <row r="14" spans="1:4" x14ac:dyDescent="0.25">
      <c r="A14" t="s">
        <v>151</v>
      </c>
      <c r="B14" t="s">
        <v>149</v>
      </c>
      <c r="C14" t="s">
        <v>131</v>
      </c>
      <c r="D14">
        <v>1</v>
      </c>
    </row>
    <row r="15" spans="1:4" x14ac:dyDescent="0.25">
      <c r="A15" t="s">
        <v>151</v>
      </c>
      <c r="B15" t="s">
        <v>149</v>
      </c>
      <c r="C15" t="s">
        <v>145</v>
      </c>
    </row>
    <row r="16" spans="1:4" x14ac:dyDescent="0.25">
      <c r="A16" t="s">
        <v>151</v>
      </c>
      <c r="B16" t="s">
        <v>149</v>
      </c>
      <c r="C16" t="s">
        <v>132</v>
      </c>
      <c r="D16">
        <v>52</v>
      </c>
    </row>
    <row r="17" spans="1:4" x14ac:dyDescent="0.25">
      <c r="A17" t="s">
        <v>152</v>
      </c>
      <c r="B17" t="s">
        <v>149</v>
      </c>
      <c r="C17" t="s">
        <v>129</v>
      </c>
      <c r="D17">
        <v>1.2</v>
      </c>
    </row>
    <row r="18" spans="1:4" x14ac:dyDescent="0.25">
      <c r="A18" t="s">
        <v>152</v>
      </c>
      <c r="B18" t="s">
        <v>149</v>
      </c>
      <c r="C18" t="s">
        <v>130</v>
      </c>
      <c r="D18">
        <v>10.199999999999999</v>
      </c>
    </row>
    <row r="19" spans="1:4" x14ac:dyDescent="0.25">
      <c r="A19" t="s">
        <v>152</v>
      </c>
      <c r="B19" t="s">
        <v>149</v>
      </c>
      <c r="C19" t="s">
        <v>131</v>
      </c>
      <c r="D19">
        <v>1</v>
      </c>
    </row>
    <row r="20" spans="1:4" x14ac:dyDescent="0.25">
      <c r="A20" t="s">
        <v>152</v>
      </c>
      <c r="B20" t="s">
        <v>149</v>
      </c>
      <c r="C20" t="s">
        <v>145</v>
      </c>
    </row>
    <row r="21" spans="1:4" x14ac:dyDescent="0.25">
      <c r="A21" t="s">
        <v>152</v>
      </c>
      <c r="B21" t="s">
        <v>149</v>
      </c>
      <c r="C21" t="s">
        <v>132</v>
      </c>
      <c r="D21">
        <v>20</v>
      </c>
    </row>
    <row r="22" spans="1:4" x14ac:dyDescent="0.25">
      <c r="A22" t="s">
        <v>153</v>
      </c>
      <c r="B22" t="s">
        <v>149</v>
      </c>
      <c r="C22" t="s">
        <v>129</v>
      </c>
      <c r="D22">
        <v>1.2</v>
      </c>
    </row>
    <row r="23" spans="1:4" x14ac:dyDescent="0.25">
      <c r="A23" t="s">
        <v>153</v>
      </c>
      <c r="B23" t="s">
        <v>149</v>
      </c>
      <c r="C23" t="s">
        <v>130</v>
      </c>
      <c r="D23">
        <v>18.8</v>
      </c>
    </row>
    <row r="24" spans="1:4" x14ac:dyDescent="0.25">
      <c r="A24" t="s">
        <v>153</v>
      </c>
      <c r="B24" t="s">
        <v>149</v>
      </c>
      <c r="C24" t="s">
        <v>131</v>
      </c>
      <c r="D24">
        <v>1</v>
      </c>
    </row>
    <row r="25" spans="1:4" x14ac:dyDescent="0.25">
      <c r="A25" t="s">
        <v>153</v>
      </c>
      <c r="B25" t="s">
        <v>149</v>
      </c>
      <c r="C25" t="s">
        <v>145</v>
      </c>
    </row>
    <row r="26" spans="1:4" x14ac:dyDescent="0.25">
      <c r="A26" t="s">
        <v>153</v>
      </c>
      <c r="B26" t="s">
        <v>149</v>
      </c>
      <c r="C26" t="s">
        <v>132</v>
      </c>
      <c r="D26">
        <v>37</v>
      </c>
    </row>
    <row r="27" spans="1:4" x14ac:dyDescent="0.25">
      <c r="A27" t="s">
        <v>148</v>
      </c>
      <c r="B27" t="s">
        <v>154</v>
      </c>
      <c r="C27" t="s">
        <v>129</v>
      </c>
      <c r="D27">
        <v>1.2</v>
      </c>
    </row>
    <row r="28" spans="1:4" x14ac:dyDescent="0.25">
      <c r="A28" t="s">
        <v>148</v>
      </c>
      <c r="B28" t="s">
        <v>154</v>
      </c>
      <c r="C28" t="s">
        <v>130</v>
      </c>
      <c r="D28">
        <v>0.1</v>
      </c>
    </row>
    <row r="29" spans="1:4" x14ac:dyDescent="0.25">
      <c r="A29" t="s">
        <v>148</v>
      </c>
      <c r="B29" t="s">
        <v>154</v>
      </c>
      <c r="C29" t="s">
        <v>131</v>
      </c>
      <c r="D29">
        <v>1</v>
      </c>
    </row>
    <row r="30" spans="1:4" x14ac:dyDescent="0.25">
      <c r="A30" t="s">
        <v>148</v>
      </c>
      <c r="B30" t="s">
        <v>154</v>
      </c>
      <c r="C30" t="s">
        <v>145</v>
      </c>
    </row>
    <row r="31" spans="1:4" x14ac:dyDescent="0.25">
      <c r="A31" t="s">
        <v>148</v>
      </c>
      <c r="B31" t="s">
        <v>154</v>
      </c>
      <c r="C31" t="s">
        <v>132</v>
      </c>
      <c r="D31">
        <v>0.2</v>
      </c>
    </row>
    <row r="32" spans="1:4" x14ac:dyDescent="0.25">
      <c r="A32" t="s">
        <v>150</v>
      </c>
      <c r="B32" t="s">
        <v>154</v>
      </c>
      <c r="C32" t="s">
        <v>129</v>
      </c>
      <c r="D32">
        <v>1.2</v>
      </c>
    </row>
    <row r="33" spans="1:4" x14ac:dyDescent="0.25">
      <c r="A33" t="s">
        <v>150</v>
      </c>
      <c r="B33" t="s">
        <v>154</v>
      </c>
      <c r="C33" t="s">
        <v>130</v>
      </c>
      <c r="D33">
        <v>0.6</v>
      </c>
    </row>
    <row r="34" spans="1:4" x14ac:dyDescent="0.25">
      <c r="A34" t="s">
        <v>150</v>
      </c>
      <c r="B34" t="s">
        <v>154</v>
      </c>
      <c r="C34" t="s">
        <v>131</v>
      </c>
      <c r="D34">
        <v>1</v>
      </c>
    </row>
    <row r="35" spans="1:4" x14ac:dyDescent="0.25">
      <c r="A35" t="s">
        <v>150</v>
      </c>
      <c r="B35" t="s">
        <v>154</v>
      </c>
      <c r="C35" t="s">
        <v>145</v>
      </c>
    </row>
    <row r="36" spans="1:4" x14ac:dyDescent="0.25">
      <c r="A36" t="s">
        <v>150</v>
      </c>
      <c r="B36" t="s">
        <v>154</v>
      </c>
      <c r="C36" t="s">
        <v>132</v>
      </c>
      <c r="D36">
        <v>1.2</v>
      </c>
    </row>
    <row r="37" spans="1:4" x14ac:dyDescent="0.25">
      <c r="A37" t="s">
        <v>151</v>
      </c>
      <c r="B37" t="s">
        <v>154</v>
      </c>
      <c r="C37" t="s">
        <v>129</v>
      </c>
      <c r="D37">
        <v>1.2</v>
      </c>
    </row>
    <row r="38" spans="1:4" x14ac:dyDescent="0.25">
      <c r="A38" t="s">
        <v>151</v>
      </c>
      <c r="B38" t="s">
        <v>154</v>
      </c>
      <c r="C38" t="s">
        <v>130</v>
      </c>
      <c r="D38">
        <v>8.8000000000000007</v>
      </c>
    </row>
    <row r="39" spans="1:4" x14ac:dyDescent="0.25">
      <c r="A39" t="s">
        <v>151</v>
      </c>
      <c r="B39" t="s">
        <v>154</v>
      </c>
      <c r="C39" t="s">
        <v>131</v>
      </c>
      <c r="D39">
        <v>1</v>
      </c>
    </row>
    <row r="40" spans="1:4" x14ac:dyDescent="0.25">
      <c r="A40" t="s">
        <v>151</v>
      </c>
      <c r="B40" t="s">
        <v>154</v>
      </c>
      <c r="C40" t="s">
        <v>145</v>
      </c>
    </row>
    <row r="41" spans="1:4" x14ac:dyDescent="0.25">
      <c r="A41" t="s">
        <v>151</v>
      </c>
      <c r="B41" t="s">
        <v>154</v>
      </c>
      <c r="C41" t="s">
        <v>132</v>
      </c>
      <c r="D41">
        <v>17</v>
      </c>
    </row>
    <row r="42" spans="1:4" x14ac:dyDescent="0.25">
      <c r="A42" t="s">
        <v>152</v>
      </c>
      <c r="B42" t="s">
        <v>154</v>
      </c>
      <c r="C42" t="s">
        <v>129</v>
      </c>
      <c r="D42">
        <v>1.2</v>
      </c>
    </row>
    <row r="43" spans="1:4" x14ac:dyDescent="0.25">
      <c r="A43" t="s">
        <v>152</v>
      </c>
      <c r="B43" t="s">
        <v>154</v>
      </c>
      <c r="C43" t="s">
        <v>130</v>
      </c>
      <c r="D43">
        <v>1.1000000000000001</v>
      </c>
    </row>
    <row r="44" spans="1:4" x14ac:dyDescent="0.25">
      <c r="A44" t="s">
        <v>152</v>
      </c>
      <c r="B44" t="s">
        <v>154</v>
      </c>
      <c r="C44" t="s">
        <v>131</v>
      </c>
      <c r="D44">
        <v>1</v>
      </c>
    </row>
    <row r="45" spans="1:4" x14ac:dyDescent="0.25">
      <c r="A45" t="s">
        <v>152</v>
      </c>
      <c r="B45" t="s">
        <v>154</v>
      </c>
      <c r="C45" t="s">
        <v>145</v>
      </c>
    </row>
    <row r="46" spans="1:4" x14ac:dyDescent="0.25">
      <c r="A46" t="s">
        <v>152</v>
      </c>
      <c r="B46" t="s">
        <v>154</v>
      </c>
      <c r="C46" t="s">
        <v>132</v>
      </c>
      <c r="D46">
        <v>2.2000000000000002</v>
      </c>
    </row>
    <row r="47" spans="1:4" x14ac:dyDescent="0.25">
      <c r="A47" t="s">
        <v>153</v>
      </c>
      <c r="B47" t="s">
        <v>154</v>
      </c>
      <c r="C47" t="s">
        <v>129</v>
      </c>
      <c r="D47">
        <v>1.2</v>
      </c>
    </row>
    <row r="48" spans="1:4" x14ac:dyDescent="0.25">
      <c r="A48" t="s">
        <v>153</v>
      </c>
      <c r="B48" t="s">
        <v>154</v>
      </c>
      <c r="C48" t="s">
        <v>130</v>
      </c>
      <c r="D48">
        <v>1.2</v>
      </c>
    </row>
    <row r="49" spans="1:4" x14ac:dyDescent="0.25">
      <c r="A49" t="s">
        <v>153</v>
      </c>
      <c r="B49" t="s">
        <v>154</v>
      </c>
      <c r="C49" t="s">
        <v>131</v>
      </c>
      <c r="D49">
        <v>1</v>
      </c>
    </row>
    <row r="50" spans="1:4" x14ac:dyDescent="0.25">
      <c r="A50" t="s">
        <v>153</v>
      </c>
      <c r="B50" t="s">
        <v>154</v>
      </c>
      <c r="C50" t="s">
        <v>145</v>
      </c>
    </row>
    <row r="51" spans="1:4" x14ac:dyDescent="0.25">
      <c r="A51" t="s">
        <v>153</v>
      </c>
      <c r="B51" t="s">
        <v>154</v>
      </c>
      <c r="C51" t="s">
        <v>132</v>
      </c>
      <c r="D51">
        <v>2.4</v>
      </c>
    </row>
    <row r="52" spans="1:4" x14ac:dyDescent="0.25">
      <c r="A52" t="s">
        <v>150</v>
      </c>
      <c r="B52" t="s">
        <v>155</v>
      </c>
      <c r="C52" t="s">
        <v>129</v>
      </c>
      <c r="D52">
        <v>0.7</v>
      </c>
    </row>
    <row r="53" spans="1:4" x14ac:dyDescent="0.25">
      <c r="A53" t="s">
        <v>150</v>
      </c>
      <c r="B53" t="s">
        <v>155</v>
      </c>
      <c r="C53" t="s">
        <v>130</v>
      </c>
      <c r="D53">
        <v>2.9</v>
      </c>
    </row>
    <row r="54" spans="1:4" x14ac:dyDescent="0.25">
      <c r="A54" t="s">
        <v>150</v>
      </c>
      <c r="B54" t="s">
        <v>155</v>
      </c>
      <c r="C54" t="s">
        <v>131</v>
      </c>
      <c r="D54">
        <v>1</v>
      </c>
    </row>
    <row r="55" spans="1:4" x14ac:dyDescent="0.25">
      <c r="A55" t="s">
        <v>150</v>
      </c>
      <c r="B55" t="s">
        <v>155</v>
      </c>
      <c r="C55" t="s">
        <v>145</v>
      </c>
    </row>
    <row r="56" spans="1:4" x14ac:dyDescent="0.25">
      <c r="A56" t="s">
        <v>150</v>
      </c>
      <c r="B56" t="s">
        <v>155</v>
      </c>
      <c r="C56" t="s">
        <v>132</v>
      </c>
      <c r="D56">
        <v>5.8</v>
      </c>
    </row>
    <row r="57" spans="1:4" x14ac:dyDescent="0.25">
      <c r="A57" t="s">
        <v>151</v>
      </c>
      <c r="B57" t="s">
        <v>155</v>
      </c>
      <c r="C57" t="s">
        <v>129</v>
      </c>
      <c r="D57">
        <v>0.7</v>
      </c>
    </row>
    <row r="58" spans="1:4" x14ac:dyDescent="0.25">
      <c r="A58" t="s">
        <v>151</v>
      </c>
      <c r="B58" t="s">
        <v>155</v>
      </c>
      <c r="C58" t="s">
        <v>130</v>
      </c>
      <c r="D58">
        <v>26.2</v>
      </c>
    </row>
    <row r="59" spans="1:4" x14ac:dyDescent="0.25">
      <c r="A59" t="s">
        <v>151</v>
      </c>
      <c r="B59" t="s">
        <v>155</v>
      </c>
      <c r="C59" t="s">
        <v>131</v>
      </c>
      <c r="D59">
        <v>1</v>
      </c>
    </row>
    <row r="60" spans="1:4" x14ac:dyDescent="0.25">
      <c r="A60" t="s">
        <v>151</v>
      </c>
      <c r="B60" t="s">
        <v>155</v>
      </c>
      <c r="C60" t="s">
        <v>145</v>
      </c>
    </row>
    <row r="61" spans="1:4" x14ac:dyDescent="0.25">
      <c r="A61" t="s">
        <v>151</v>
      </c>
      <c r="B61" t="s">
        <v>155</v>
      </c>
      <c r="C61" t="s">
        <v>132</v>
      </c>
      <c r="D61">
        <v>52</v>
      </c>
    </row>
    <row r="62" spans="1:4" x14ac:dyDescent="0.25">
      <c r="A62" t="s">
        <v>152</v>
      </c>
      <c r="B62" t="s">
        <v>155</v>
      </c>
      <c r="C62" t="s">
        <v>129</v>
      </c>
      <c r="D62">
        <v>0.7</v>
      </c>
    </row>
    <row r="63" spans="1:4" x14ac:dyDescent="0.25">
      <c r="A63" t="s">
        <v>152</v>
      </c>
      <c r="B63" t="s">
        <v>155</v>
      </c>
      <c r="C63" t="s">
        <v>130</v>
      </c>
      <c r="D63">
        <v>10.199999999999999</v>
      </c>
    </row>
    <row r="64" spans="1:4" x14ac:dyDescent="0.25">
      <c r="A64" t="s">
        <v>152</v>
      </c>
      <c r="B64" t="s">
        <v>155</v>
      </c>
      <c r="C64" t="s">
        <v>131</v>
      </c>
      <c r="D64">
        <v>1</v>
      </c>
    </row>
    <row r="65" spans="1:4" x14ac:dyDescent="0.25">
      <c r="A65" t="s">
        <v>152</v>
      </c>
      <c r="B65" t="s">
        <v>155</v>
      </c>
      <c r="C65" t="s">
        <v>145</v>
      </c>
    </row>
    <row r="66" spans="1:4" x14ac:dyDescent="0.25">
      <c r="A66" t="s">
        <v>152</v>
      </c>
      <c r="B66" t="s">
        <v>155</v>
      </c>
      <c r="C66" t="s">
        <v>132</v>
      </c>
      <c r="D66">
        <v>20</v>
      </c>
    </row>
    <row r="67" spans="1:4" x14ac:dyDescent="0.25">
      <c r="A67" t="s">
        <v>153</v>
      </c>
      <c r="B67" t="s">
        <v>155</v>
      </c>
      <c r="C67" t="s">
        <v>129</v>
      </c>
      <c r="D67">
        <v>0.7</v>
      </c>
    </row>
    <row r="68" spans="1:4" x14ac:dyDescent="0.25">
      <c r="A68" t="s">
        <v>153</v>
      </c>
      <c r="B68" t="s">
        <v>155</v>
      </c>
      <c r="C68" t="s">
        <v>130</v>
      </c>
      <c r="D68">
        <v>18.8</v>
      </c>
    </row>
    <row r="69" spans="1:4" x14ac:dyDescent="0.25">
      <c r="A69" t="s">
        <v>153</v>
      </c>
      <c r="B69" t="s">
        <v>155</v>
      </c>
      <c r="C69" t="s">
        <v>131</v>
      </c>
      <c r="D69">
        <v>1</v>
      </c>
    </row>
    <row r="70" spans="1:4" x14ac:dyDescent="0.25">
      <c r="A70" t="s">
        <v>153</v>
      </c>
      <c r="B70" t="s">
        <v>155</v>
      </c>
      <c r="C70" t="s">
        <v>145</v>
      </c>
    </row>
    <row r="71" spans="1:4" x14ac:dyDescent="0.25">
      <c r="A71" t="s">
        <v>153</v>
      </c>
      <c r="B71" t="s">
        <v>155</v>
      </c>
      <c r="C71" t="s">
        <v>132</v>
      </c>
      <c r="D71">
        <v>37</v>
      </c>
    </row>
    <row r="72" spans="1:4" x14ac:dyDescent="0.25">
      <c r="A72" t="s">
        <v>150</v>
      </c>
      <c r="B72" t="s">
        <v>156</v>
      </c>
      <c r="C72" t="s">
        <v>129</v>
      </c>
      <c r="D72">
        <v>0.7</v>
      </c>
    </row>
    <row r="73" spans="1:4" x14ac:dyDescent="0.25">
      <c r="A73" t="s">
        <v>150</v>
      </c>
      <c r="B73" t="s">
        <v>156</v>
      </c>
      <c r="C73" t="s">
        <v>130</v>
      </c>
      <c r="D73">
        <v>0.6</v>
      </c>
    </row>
    <row r="74" spans="1:4" x14ac:dyDescent="0.25">
      <c r="A74" t="s">
        <v>150</v>
      </c>
      <c r="B74" t="s">
        <v>156</v>
      </c>
      <c r="C74" t="s">
        <v>131</v>
      </c>
      <c r="D74">
        <v>1</v>
      </c>
    </row>
    <row r="75" spans="1:4" x14ac:dyDescent="0.25">
      <c r="A75" t="s">
        <v>150</v>
      </c>
      <c r="B75" t="s">
        <v>156</v>
      </c>
      <c r="C75" t="s">
        <v>145</v>
      </c>
    </row>
    <row r="76" spans="1:4" x14ac:dyDescent="0.25">
      <c r="A76" t="s">
        <v>150</v>
      </c>
      <c r="B76" t="s">
        <v>156</v>
      </c>
      <c r="C76" t="s">
        <v>132</v>
      </c>
      <c r="D76">
        <v>1.2</v>
      </c>
    </row>
    <row r="77" spans="1:4" x14ac:dyDescent="0.25">
      <c r="A77" t="s">
        <v>151</v>
      </c>
      <c r="B77" t="s">
        <v>156</v>
      </c>
      <c r="C77" t="s">
        <v>129</v>
      </c>
      <c r="D77">
        <v>0.7</v>
      </c>
    </row>
    <row r="78" spans="1:4" x14ac:dyDescent="0.25">
      <c r="A78" t="s">
        <v>151</v>
      </c>
      <c r="B78" t="s">
        <v>156</v>
      </c>
      <c r="C78" t="s">
        <v>130</v>
      </c>
      <c r="D78">
        <v>8.8000000000000007</v>
      </c>
    </row>
    <row r="79" spans="1:4" x14ac:dyDescent="0.25">
      <c r="A79" t="s">
        <v>151</v>
      </c>
      <c r="B79" t="s">
        <v>156</v>
      </c>
      <c r="C79" t="s">
        <v>131</v>
      </c>
      <c r="D79">
        <v>1</v>
      </c>
    </row>
    <row r="80" spans="1:4" x14ac:dyDescent="0.25">
      <c r="A80" t="s">
        <v>151</v>
      </c>
      <c r="B80" t="s">
        <v>156</v>
      </c>
      <c r="C80" t="s">
        <v>145</v>
      </c>
    </row>
    <row r="81" spans="1:4" x14ac:dyDescent="0.25">
      <c r="A81" t="s">
        <v>151</v>
      </c>
      <c r="B81" t="s">
        <v>156</v>
      </c>
      <c r="C81" t="s">
        <v>132</v>
      </c>
      <c r="D81">
        <v>17</v>
      </c>
    </row>
    <row r="82" spans="1:4" x14ac:dyDescent="0.25">
      <c r="A82" t="s">
        <v>152</v>
      </c>
      <c r="B82" t="s">
        <v>156</v>
      </c>
      <c r="C82" t="s">
        <v>129</v>
      </c>
      <c r="D82">
        <v>0.7</v>
      </c>
    </row>
    <row r="83" spans="1:4" x14ac:dyDescent="0.25">
      <c r="A83" t="s">
        <v>152</v>
      </c>
      <c r="B83" t="s">
        <v>156</v>
      </c>
      <c r="C83" t="s">
        <v>130</v>
      </c>
      <c r="D83">
        <v>1.1000000000000001</v>
      </c>
    </row>
    <row r="84" spans="1:4" x14ac:dyDescent="0.25">
      <c r="A84" t="s">
        <v>152</v>
      </c>
      <c r="B84" t="s">
        <v>156</v>
      </c>
      <c r="C84" t="s">
        <v>131</v>
      </c>
      <c r="D84">
        <v>1</v>
      </c>
    </row>
    <row r="85" spans="1:4" x14ac:dyDescent="0.25">
      <c r="A85" t="s">
        <v>152</v>
      </c>
      <c r="B85" t="s">
        <v>156</v>
      </c>
      <c r="C85" t="s">
        <v>145</v>
      </c>
    </row>
    <row r="86" spans="1:4" x14ac:dyDescent="0.25">
      <c r="A86" t="s">
        <v>152</v>
      </c>
      <c r="B86" t="s">
        <v>156</v>
      </c>
      <c r="C86" t="s">
        <v>132</v>
      </c>
      <c r="D86">
        <v>2.2000000000000002</v>
      </c>
    </row>
    <row r="87" spans="1:4" x14ac:dyDescent="0.25">
      <c r="A87" t="s">
        <v>153</v>
      </c>
      <c r="B87" t="s">
        <v>156</v>
      </c>
      <c r="C87" t="s">
        <v>129</v>
      </c>
      <c r="D87">
        <v>0.7</v>
      </c>
    </row>
    <row r="88" spans="1:4" x14ac:dyDescent="0.25">
      <c r="A88" t="s">
        <v>153</v>
      </c>
      <c r="B88" t="s">
        <v>156</v>
      </c>
      <c r="C88" t="s">
        <v>130</v>
      </c>
      <c r="D88">
        <v>1.2</v>
      </c>
    </row>
    <row r="89" spans="1:4" x14ac:dyDescent="0.25">
      <c r="A89" t="s">
        <v>153</v>
      </c>
      <c r="B89" t="s">
        <v>156</v>
      </c>
      <c r="C89" t="s">
        <v>131</v>
      </c>
      <c r="D89">
        <v>1</v>
      </c>
    </row>
    <row r="90" spans="1:4" x14ac:dyDescent="0.25">
      <c r="A90" t="s">
        <v>153</v>
      </c>
      <c r="B90" t="s">
        <v>156</v>
      </c>
      <c r="C90" t="s">
        <v>145</v>
      </c>
    </row>
    <row r="91" spans="1:4" x14ac:dyDescent="0.25">
      <c r="A91" t="s">
        <v>153</v>
      </c>
      <c r="B91" t="s">
        <v>156</v>
      </c>
      <c r="C91" t="s">
        <v>132</v>
      </c>
      <c r="D91">
        <v>2.4</v>
      </c>
    </row>
    <row r="92" spans="1:4" x14ac:dyDescent="0.25">
      <c r="A92" t="s">
        <v>150</v>
      </c>
      <c r="B92" t="s">
        <v>157</v>
      </c>
      <c r="C92" t="s">
        <v>129</v>
      </c>
      <c r="D92">
        <v>0.6</v>
      </c>
    </row>
    <row r="93" spans="1:4" x14ac:dyDescent="0.25">
      <c r="A93" t="s">
        <v>150</v>
      </c>
      <c r="B93" t="s">
        <v>157</v>
      </c>
      <c r="C93" t="s">
        <v>130</v>
      </c>
      <c r="D93">
        <v>7</v>
      </c>
    </row>
    <row r="94" spans="1:4" x14ac:dyDescent="0.25">
      <c r="A94" t="s">
        <v>150</v>
      </c>
      <c r="B94" t="s">
        <v>157</v>
      </c>
      <c r="C94" t="s">
        <v>131</v>
      </c>
      <c r="D94">
        <v>1</v>
      </c>
    </row>
    <row r="95" spans="1:4" x14ac:dyDescent="0.25">
      <c r="A95" t="s">
        <v>150</v>
      </c>
      <c r="B95" t="s">
        <v>157</v>
      </c>
      <c r="C95" t="s">
        <v>145</v>
      </c>
    </row>
    <row r="96" spans="1:4" x14ac:dyDescent="0.25">
      <c r="A96" t="s">
        <v>150</v>
      </c>
      <c r="B96" t="s">
        <v>157</v>
      </c>
      <c r="C96" t="s">
        <v>132</v>
      </c>
      <c r="D96">
        <v>14</v>
      </c>
    </row>
    <row r="97" spans="1:4" x14ac:dyDescent="0.25">
      <c r="A97" t="s">
        <v>151</v>
      </c>
      <c r="B97" t="s">
        <v>157</v>
      </c>
      <c r="C97" t="s">
        <v>129</v>
      </c>
      <c r="D97">
        <v>0.6</v>
      </c>
    </row>
    <row r="98" spans="1:4" x14ac:dyDescent="0.25">
      <c r="A98" t="s">
        <v>151</v>
      </c>
      <c r="B98" t="s">
        <v>157</v>
      </c>
      <c r="C98" t="s">
        <v>130</v>
      </c>
      <c r="D98">
        <v>20.2</v>
      </c>
    </row>
    <row r="99" spans="1:4" x14ac:dyDescent="0.25">
      <c r="A99" t="s">
        <v>151</v>
      </c>
      <c r="B99" t="s">
        <v>157</v>
      </c>
      <c r="C99" t="s">
        <v>131</v>
      </c>
      <c r="D99">
        <v>1</v>
      </c>
    </row>
    <row r="100" spans="1:4" x14ac:dyDescent="0.25">
      <c r="A100" t="s">
        <v>151</v>
      </c>
      <c r="B100" t="s">
        <v>157</v>
      </c>
      <c r="C100" t="s">
        <v>145</v>
      </c>
    </row>
    <row r="101" spans="1:4" x14ac:dyDescent="0.25">
      <c r="A101" t="s">
        <v>151</v>
      </c>
      <c r="B101" t="s">
        <v>157</v>
      </c>
      <c r="C101" t="s">
        <v>132</v>
      </c>
      <c r="D101">
        <v>40</v>
      </c>
    </row>
    <row r="102" spans="1:4" x14ac:dyDescent="0.25">
      <c r="A102" t="s">
        <v>152</v>
      </c>
      <c r="B102" t="s">
        <v>157</v>
      </c>
      <c r="C102" t="s">
        <v>129</v>
      </c>
      <c r="D102">
        <v>0.6</v>
      </c>
    </row>
    <row r="103" spans="1:4" x14ac:dyDescent="0.25">
      <c r="A103" t="s">
        <v>152</v>
      </c>
      <c r="B103" t="s">
        <v>157</v>
      </c>
      <c r="C103" t="s">
        <v>130</v>
      </c>
      <c r="D103">
        <v>12.6</v>
      </c>
    </row>
    <row r="104" spans="1:4" x14ac:dyDescent="0.25">
      <c r="A104" t="s">
        <v>152</v>
      </c>
      <c r="B104" t="s">
        <v>157</v>
      </c>
      <c r="C104" t="s">
        <v>131</v>
      </c>
      <c r="D104">
        <v>1</v>
      </c>
    </row>
    <row r="105" spans="1:4" x14ac:dyDescent="0.25">
      <c r="A105" t="s">
        <v>152</v>
      </c>
      <c r="B105" t="s">
        <v>157</v>
      </c>
      <c r="C105" t="s">
        <v>145</v>
      </c>
    </row>
    <row r="106" spans="1:4" x14ac:dyDescent="0.25">
      <c r="A106" t="s">
        <v>152</v>
      </c>
      <c r="B106" t="s">
        <v>157</v>
      </c>
      <c r="C106" t="s">
        <v>132</v>
      </c>
      <c r="D106">
        <v>25</v>
      </c>
    </row>
    <row r="107" spans="1:4" x14ac:dyDescent="0.25">
      <c r="A107" t="s">
        <v>153</v>
      </c>
      <c r="B107" t="s">
        <v>157</v>
      </c>
      <c r="C107" t="s">
        <v>129</v>
      </c>
      <c r="D107">
        <v>0.6</v>
      </c>
    </row>
    <row r="108" spans="1:4" x14ac:dyDescent="0.25">
      <c r="A108" t="s">
        <v>153</v>
      </c>
      <c r="B108" t="s">
        <v>157</v>
      </c>
      <c r="C108" t="s">
        <v>130</v>
      </c>
      <c r="D108">
        <v>15</v>
      </c>
    </row>
    <row r="109" spans="1:4" x14ac:dyDescent="0.25">
      <c r="A109" t="s">
        <v>153</v>
      </c>
      <c r="B109" t="s">
        <v>157</v>
      </c>
      <c r="C109" t="s">
        <v>131</v>
      </c>
      <c r="D109">
        <v>1</v>
      </c>
    </row>
    <row r="110" spans="1:4" x14ac:dyDescent="0.25">
      <c r="A110" t="s">
        <v>153</v>
      </c>
      <c r="B110" t="s">
        <v>157</v>
      </c>
      <c r="C110" t="s">
        <v>145</v>
      </c>
    </row>
    <row r="111" spans="1:4" x14ac:dyDescent="0.25">
      <c r="A111" t="s">
        <v>153</v>
      </c>
      <c r="B111" t="s">
        <v>157</v>
      </c>
      <c r="C111" t="s">
        <v>132</v>
      </c>
      <c r="D111">
        <v>30</v>
      </c>
    </row>
    <row r="112" spans="1:4" x14ac:dyDescent="0.25">
      <c r="A112" t="s">
        <v>150</v>
      </c>
      <c r="B112" t="s">
        <v>158</v>
      </c>
      <c r="C112" t="s">
        <v>129</v>
      </c>
      <c r="D112">
        <v>0.6</v>
      </c>
    </row>
    <row r="113" spans="1:4" x14ac:dyDescent="0.25">
      <c r="A113" t="s">
        <v>150</v>
      </c>
      <c r="B113" t="s">
        <v>158</v>
      </c>
      <c r="C113" t="s">
        <v>130</v>
      </c>
      <c r="D113">
        <v>1.4</v>
      </c>
    </row>
    <row r="114" spans="1:4" x14ac:dyDescent="0.25">
      <c r="A114" t="s">
        <v>150</v>
      </c>
      <c r="B114" t="s">
        <v>158</v>
      </c>
      <c r="C114" t="s">
        <v>131</v>
      </c>
      <c r="D114">
        <v>1</v>
      </c>
    </row>
    <row r="115" spans="1:4" x14ac:dyDescent="0.25">
      <c r="A115" t="s">
        <v>150</v>
      </c>
      <c r="B115" t="s">
        <v>158</v>
      </c>
      <c r="C115" t="s">
        <v>145</v>
      </c>
    </row>
    <row r="116" spans="1:4" x14ac:dyDescent="0.25">
      <c r="A116" t="s">
        <v>150</v>
      </c>
      <c r="B116" t="s">
        <v>158</v>
      </c>
      <c r="C116" t="s">
        <v>132</v>
      </c>
      <c r="D116">
        <v>2.8</v>
      </c>
    </row>
    <row r="117" spans="1:4" x14ac:dyDescent="0.25">
      <c r="A117" t="s">
        <v>151</v>
      </c>
      <c r="B117" t="s">
        <v>158</v>
      </c>
      <c r="C117" t="s">
        <v>129</v>
      </c>
      <c r="D117">
        <v>0.6</v>
      </c>
    </row>
    <row r="118" spans="1:4" x14ac:dyDescent="0.25">
      <c r="A118" t="s">
        <v>151</v>
      </c>
      <c r="B118" t="s">
        <v>158</v>
      </c>
      <c r="C118" t="s">
        <v>130</v>
      </c>
      <c r="D118">
        <v>6.8</v>
      </c>
    </row>
    <row r="119" spans="1:4" x14ac:dyDescent="0.25">
      <c r="A119" t="s">
        <v>151</v>
      </c>
      <c r="B119" t="s">
        <v>158</v>
      </c>
      <c r="C119" t="s">
        <v>131</v>
      </c>
      <c r="D119">
        <v>1</v>
      </c>
    </row>
    <row r="120" spans="1:4" x14ac:dyDescent="0.25">
      <c r="A120" t="s">
        <v>151</v>
      </c>
      <c r="B120" t="s">
        <v>158</v>
      </c>
      <c r="C120" t="s">
        <v>145</v>
      </c>
    </row>
    <row r="121" spans="1:4" x14ac:dyDescent="0.25">
      <c r="A121" t="s">
        <v>151</v>
      </c>
      <c r="B121" t="s">
        <v>158</v>
      </c>
      <c r="C121" t="s">
        <v>132</v>
      </c>
      <c r="D121">
        <v>13</v>
      </c>
    </row>
    <row r="122" spans="1:4" x14ac:dyDescent="0.25">
      <c r="A122" t="s">
        <v>152</v>
      </c>
      <c r="B122" t="s">
        <v>158</v>
      </c>
      <c r="C122" t="s">
        <v>129</v>
      </c>
      <c r="D122">
        <v>0.6</v>
      </c>
    </row>
    <row r="123" spans="1:4" x14ac:dyDescent="0.25">
      <c r="A123" t="s">
        <v>152</v>
      </c>
      <c r="B123" t="s">
        <v>158</v>
      </c>
      <c r="C123" t="s">
        <v>130</v>
      </c>
      <c r="D123">
        <v>1.4</v>
      </c>
    </row>
    <row r="124" spans="1:4" x14ac:dyDescent="0.25">
      <c r="A124" t="s">
        <v>152</v>
      </c>
      <c r="B124" t="s">
        <v>158</v>
      </c>
      <c r="C124" t="s">
        <v>131</v>
      </c>
      <c r="D124">
        <v>1</v>
      </c>
    </row>
    <row r="125" spans="1:4" x14ac:dyDescent="0.25">
      <c r="A125" t="s">
        <v>152</v>
      </c>
      <c r="B125" t="s">
        <v>158</v>
      </c>
      <c r="C125" t="s">
        <v>145</v>
      </c>
    </row>
    <row r="126" spans="1:4" x14ac:dyDescent="0.25">
      <c r="A126" t="s">
        <v>152</v>
      </c>
      <c r="B126" t="s">
        <v>158</v>
      </c>
      <c r="C126" t="s">
        <v>132</v>
      </c>
      <c r="D126">
        <v>2.8</v>
      </c>
    </row>
    <row r="127" spans="1:4" x14ac:dyDescent="0.25">
      <c r="A127" t="s">
        <v>153</v>
      </c>
      <c r="B127" t="s">
        <v>158</v>
      </c>
      <c r="C127" t="s">
        <v>129</v>
      </c>
      <c r="D127">
        <v>0.6</v>
      </c>
    </row>
    <row r="128" spans="1:4" x14ac:dyDescent="0.25">
      <c r="A128" t="s">
        <v>153</v>
      </c>
      <c r="B128" t="s">
        <v>158</v>
      </c>
      <c r="C128" t="s">
        <v>130</v>
      </c>
      <c r="D128">
        <v>1</v>
      </c>
    </row>
    <row r="129" spans="1:4" x14ac:dyDescent="0.25">
      <c r="A129" t="s">
        <v>153</v>
      </c>
      <c r="B129" t="s">
        <v>158</v>
      </c>
      <c r="C129" t="s">
        <v>131</v>
      </c>
      <c r="D129">
        <v>1</v>
      </c>
    </row>
    <row r="130" spans="1:4" x14ac:dyDescent="0.25">
      <c r="A130" t="s">
        <v>153</v>
      </c>
      <c r="B130" t="s">
        <v>158</v>
      </c>
      <c r="C130" t="s">
        <v>145</v>
      </c>
    </row>
    <row r="131" spans="1:4" x14ac:dyDescent="0.25">
      <c r="A131" t="s">
        <v>153</v>
      </c>
      <c r="B131" t="s">
        <v>158</v>
      </c>
      <c r="C131" t="s">
        <v>132</v>
      </c>
      <c r="D131">
        <v>2</v>
      </c>
    </row>
  </sheetData>
  <autoFilter ref="A1:D131" xr:uid="{BBA1EDEA-E1C9-4B25-ADDE-06B6FB916511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95BEB-DABC-4410-B5D8-F33F079CD882}">
  <dimension ref="A1:C93"/>
  <sheetViews>
    <sheetView workbookViewId="0"/>
  </sheetViews>
  <sheetFormatPr defaultRowHeight="15" x14ac:dyDescent="0.25"/>
  <cols>
    <col min="1" max="1" width="12.85546875" bestFit="1" customWidth="1"/>
  </cols>
  <sheetData>
    <row r="1" spans="1:3" x14ac:dyDescent="0.25">
      <c r="A1" s="4" t="s">
        <v>147</v>
      </c>
      <c r="B1" t="s">
        <v>146</v>
      </c>
      <c r="C1" t="s">
        <v>345</v>
      </c>
    </row>
    <row r="2" spans="1:3" x14ac:dyDescent="0.25">
      <c r="A2" s="4" t="s">
        <v>160</v>
      </c>
      <c r="B2" t="s">
        <v>159</v>
      </c>
      <c r="C2">
        <v>90</v>
      </c>
    </row>
    <row r="3" spans="1:3" x14ac:dyDescent="0.25">
      <c r="A3" s="4" t="s">
        <v>160</v>
      </c>
      <c r="B3" t="s">
        <v>148</v>
      </c>
      <c r="C3">
        <v>76</v>
      </c>
    </row>
    <row r="4" spans="1:3" x14ac:dyDescent="0.25">
      <c r="A4" s="4" t="s">
        <v>160</v>
      </c>
      <c r="B4" t="s">
        <v>150</v>
      </c>
      <c r="C4">
        <v>338</v>
      </c>
    </row>
    <row r="5" spans="1:3" x14ac:dyDescent="0.25">
      <c r="A5" s="4" t="s">
        <v>160</v>
      </c>
      <c r="B5" t="s">
        <v>151</v>
      </c>
      <c r="C5">
        <v>83</v>
      </c>
    </row>
    <row r="6" spans="1:3" x14ac:dyDescent="0.25">
      <c r="A6" s="4" t="s">
        <v>160</v>
      </c>
      <c r="B6" t="s">
        <v>152</v>
      </c>
      <c r="C6">
        <v>242</v>
      </c>
    </row>
    <row r="7" spans="1:3" x14ac:dyDescent="0.25">
      <c r="A7" s="4" t="s">
        <v>160</v>
      </c>
      <c r="B7" t="s">
        <v>153</v>
      </c>
      <c r="C7">
        <v>224</v>
      </c>
    </row>
    <row r="8" spans="1:3" x14ac:dyDescent="0.25">
      <c r="A8" s="4" t="s">
        <v>161</v>
      </c>
      <c r="B8" t="s">
        <v>159</v>
      </c>
      <c r="C8">
        <v>5.6</v>
      </c>
    </row>
    <row r="9" spans="1:3" x14ac:dyDescent="0.25">
      <c r="A9" s="4" t="s">
        <v>161</v>
      </c>
      <c r="B9" t="s">
        <v>148</v>
      </c>
      <c r="C9">
        <v>9</v>
      </c>
    </row>
    <row r="10" spans="1:3" x14ac:dyDescent="0.25">
      <c r="A10" s="4" t="s">
        <v>161</v>
      </c>
      <c r="B10" t="s">
        <v>150</v>
      </c>
      <c r="C10">
        <v>0</v>
      </c>
    </row>
    <row r="11" spans="1:3" x14ac:dyDescent="0.25">
      <c r="A11" s="4" t="s">
        <v>161</v>
      </c>
      <c r="B11" t="s">
        <v>151</v>
      </c>
      <c r="C11">
        <v>21</v>
      </c>
    </row>
    <row r="12" spans="1:3" x14ac:dyDescent="0.25">
      <c r="A12" s="4" t="s">
        <v>161</v>
      </c>
      <c r="B12" t="s">
        <v>152</v>
      </c>
      <c r="C12">
        <v>34</v>
      </c>
    </row>
    <row r="13" spans="1:3" x14ac:dyDescent="0.25">
      <c r="A13" s="4" t="s">
        <v>161</v>
      </c>
      <c r="B13" t="s">
        <v>153</v>
      </c>
      <c r="C13">
        <v>12</v>
      </c>
    </row>
    <row r="14" spans="1:3" x14ac:dyDescent="0.25">
      <c r="A14" s="4" t="s">
        <v>162</v>
      </c>
      <c r="B14" t="s">
        <v>159</v>
      </c>
      <c r="C14">
        <v>4.5999999999999996</v>
      </c>
    </row>
    <row r="15" spans="1:3" x14ac:dyDescent="0.25">
      <c r="A15" s="4" t="s">
        <v>162</v>
      </c>
      <c r="B15" t="s">
        <v>148</v>
      </c>
      <c r="C15">
        <v>3</v>
      </c>
    </row>
    <row r="16" spans="1:3" x14ac:dyDescent="0.25">
      <c r="A16" s="4" t="s">
        <v>162</v>
      </c>
      <c r="B16" t="s">
        <v>150</v>
      </c>
      <c r="C16">
        <v>0</v>
      </c>
    </row>
    <row r="17" spans="1:3" x14ac:dyDescent="0.25">
      <c r="A17" s="4" t="s">
        <v>162</v>
      </c>
      <c r="B17" t="s">
        <v>151</v>
      </c>
      <c r="C17">
        <v>26</v>
      </c>
    </row>
    <row r="18" spans="1:3" x14ac:dyDescent="0.25">
      <c r="A18" s="4" t="s">
        <v>162</v>
      </c>
      <c r="B18" t="s">
        <v>152</v>
      </c>
      <c r="C18">
        <v>0</v>
      </c>
    </row>
    <row r="19" spans="1:3" x14ac:dyDescent="0.25">
      <c r="A19" t="s">
        <v>162</v>
      </c>
      <c r="B19" t="s">
        <v>153</v>
      </c>
      <c r="C19">
        <v>4.7</v>
      </c>
    </row>
    <row r="20" spans="1:3" x14ac:dyDescent="0.25">
      <c r="A20" t="s">
        <v>163</v>
      </c>
      <c r="B20" t="s">
        <v>159</v>
      </c>
      <c r="C20">
        <v>0</v>
      </c>
    </row>
    <row r="21" spans="1:3" x14ac:dyDescent="0.25">
      <c r="A21" t="s">
        <v>163</v>
      </c>
      <c r="B21" t="s">
        <v>148</v>
      </c>
      <c r="C21">
        <v>0</v>
      </c>
    </row>
    <row r="22" spans="1:3" x14ac:dyDescent="0.25">
      <c r="A22" t="s">
        <v>163</v>
      </c>
      <c r="B22" t="s">
        <v>150</v>
      </c>
      <c r="C22">
        <v>0</v>
      </c>
    </row>
    <row r="23" spans="1:3" x14ac:dyDescent="0.25">
      <c r="A23" t="s">
        <v>163</v>
      </c>
      <c r="B23" t="s">
        <v>151</v>
      </c>
      <c r="C23">
        <v>2.4</v>
      </c>
    </row>
    <row r="24" spans="1:3" x14ac:dyDescent="0.25">
      <c r="A24" t="s">
        <v>163</v>
      </c>
      <c r="B24" t="s">
        <v>152</v>
      </c>
      <c r="C24">
        <v>74.599999999999994</v>
      </c>
    </row>
    <row r="25" spans="1:3" x14ac:dyDescent="0.25">
      <c r="A25" t="s">
        <v>163</v>
      </c>
      <c r="B25" t="s">
        <v>153</v>
      </c>
      <c r="C25">
        <v>0</v>
      </c>
    </row>
    <row r="26" spans="1:3" x14ac:dyDescent="0.25">
      <c r="A26" t="s">
        <v>164</v>
      </c>
      <c r="B26" t="s">
        <v>159</v>
      </c>
      <c r="C26">
        <v>1.9</v>
      </c>
    </row>
    <row r="27" spans="1:3" x14ac:dyDescent="0.25">
      <c r="A27" t="s">
        <v>164</v>
      </c>
      <c r="B27" t="s">
        <v>148</v>
      </c>
      <c r="C27">
        <v>7.1</v>
      </c>
    </row>
    <row r="28" spans="1:3" x14ac:dyDescent="0.25">
      <c r="A28" t="s">
        <v>164</v>
      </c>
      <c r="B28" t="s">
        <v>150</v>
      </c>
      <c r="C28">
        <v>31.2</v>
      </c>
    </row>
    <row r="29" spans="1:3" x14ac:dyDescent="0.25">
      <c r="A29" t="s">
        <v>164</v>
      </c>
      <c r="B29" t="s">
        <v>151</v>
      </c>
      <c r="C29">
        <v>22.2</v>
      </c>
    </row>
    <row r="30" spans="1:3" x14ac:dyDescent="0.25">
      <c r="A30" t="s">
        <v>164</v>
      </c>
      <c r="B30" t="s">
        <v>152</v>
      </c>
      <c r="C30">
        <v>20.5</v>
      </c>
    </row>
    <row r="31" spans="1:3" x14ac:dyDescent="0.25">
      <c r="A31" t="s">
        <v>164</v>
      </c>
      <c r="B31" t="s">
        <v>153</v>
      </c>
      <c r="C31">
        <v>10.6</v>
      </c>
    </row>
    <row r="32" spans="1:3" x14ac:dyDescent="0.25">
      <c r="A32" t="s">
        <v>165</v>
      </c>
      <c r="B32" t="s">
        <v>159</v>
      </c>
      <c r="C32">
        <v>2</v>
      </c>
    </row>
    <row r="33" spans="1:3" x14ac:dyDescent="0.25">
      <c r="A33" t="s">
        <v>165</v>
      </c>
      <c r="B33" t="s">
        <v>148</v>
      </c>
      <c r="C33">
        <v>2.2000000000000002</v>
      </c>
    </row>
    <row r="34" spans="1:3" x14ac:dyDescent="0.25">
      <c r="A34" t="s">
        <v>165</v>
      </c>
      <c r="B34" t="s">
        <v>150</v>
      </c>
      <c r="C34">
        <v>1.2</v>
      </c>
    </row>
    <row r="35" spans="1:3" x14ac:dyDescent="0.25">
      <c r="A35" t="s">
        <v>165</v>
      </c>
      <c r="B35" t="s">
        <v>151</v>
      </c>
      <c r="C35">
        <v>36.700000000000003</v>
      </c>
    </row>
    <row r="36" spans="1:3" x14ac:dyDescent="0.25">
      <c r="A36" t="s">
        <v>165</v>
      </c>
      <c r="B36" t="s">
        <v>152</v>
      </c>
      <c r="C36">
        <v>20.5</v>
      </c>
    </row>
    <row r="37" spans="1:3" x14ac:dyDescent="0.25">
      <c r="A37" t="s">
        <v>165</v>
      </c>
      <c r="B37" t="s">
        <v>153</v>
      </c>
      <c r="C37">
        <v>36.9</v>
      </c>
    </row>
    <row r="38" spans="1:3" x14ac:dyDescent="0.25">
      <c r="A38" t="s">
        <v>166</v>
      </c>
      <c r="B38" t="s">
        <v>159</v>
      </c>
      <c r="C38">
        <v>0</v>
      </c>
    </row>
    <row r="39" spans="1:3" x14ac:dyDescent="0.25">
      <c r="A39" t="s">
        <v>166</v>
      </c>
      <c r="B39" t="s">
        <v>148</v>
      </c>
      <c r="C39">
        <v>0</v>
      </c>
    </row>
    <row r="40" spans="1:3" x14ac:dyDescent="0.25">
      <c r="A40" t="s">
        <v>166</v>
      </c>
      <c r="B40" t="s">
        <v>150</v>
      </c>
      <c r="C40">
        <v>43.2</v>
      </c>
    </row>
    <row r="41" spans="1:3" x14ac:dyDescent="0.25">
      <c r="A41" t="s">
        <v>166</v>
      </c>
      <c r="B41" t="s">
        <v>151</v>
      </c>
      <c r="C41">
        <v>0</v>
      </c>
    </row>
    <row r="42" spans="1:3" x14ac:dyDescent="0.25">
      <c r="A42" t="s">
        <v>166</v>
      </c>
      <c r="B42" t="s">
        <v>152</v>
      </c>
      <c r="C42">
        <v>53.5</v>
      </c>
    </row>
    <row r="43" spans="1:3" x14ac:dyDescent="0.25">
      <c r="A43" t="s">
        <v>166</v>
      </c>
      <c r="B43" t="s">
        <v>153</v>
      </c>
      <c r="C43">
        <v>1.2</v>
      </c>
    </row>
    <row r="44" spans="1:3" x14ac:dyDescent="0.25">
      <c r="A44" t="s">
        <v>167</v>
      </c>
      <c r="B44" t="s">
        <v>159</v>
      </c>
      <c r="C44">
        <v>0</v>
      </c>
    </row>
    <row r="45" spans="1:3" x14ac:dyDescent="0.25">
      <c r="A45" t="s">
        <v>167</v>
      </c>
      <c r="B45" t="s">
        <v>148</v>
      </c>
      <c r="C45">
        <v>4.5</v>
      </c>
    </row>
    <row r="46" spans="1:3" x14ac:dyDescent="0.25">
      <c r="A46" t="s">
        <v>167</v>
      </c>
      <c r="B46" t="s">
        <v>150</v>
      </c>
      <c r="C46">
        <v>13.4</v>
      </c>
    </row>
    <row r="47" spans="1:3" x14ac:dyDescent="0.25">
      <c r="A47" t="s">
        <v>167</v>
      </c>
      <c r="B47" t="s">
        <v>151</v>
      </c>
      <c r="C47">
        <v>13.4</v>
      </c>
    </row>
    <row r="48" spans="1:3" x14ac:dyDescent="0.25">
      <c r="A48" t="s">
        <v>167</v>
      </c>
      <c r="B48" t="s">
        <v>152</v>
      </c>
      <c r="C48">
        <v>10.4</v>
      </c>
    </row>
    <row r="49" spans="1:3" x14ac:dyDescent="0.25">
      <c r="A49" t="s">
        <v>167</v>
      </c>
      <c r="B49" t="s">
        <v>153</v>
      </c>
      <c r="C49">
        <v>56.7</v>
      </c>
    </row>
    <row r="50" spans="1:3" x14ac:dyDescent="0.25">
      <c r="A50" t="s">
        <v>168</v>
      </c>
      <c r="B50" t="s">
        <v>159</v>
      </c>
      <c r="C50">
        <v>0.5</v>
      </c>
    </row>
    <row r="51" spans="1:3" x14ac:dyDescent="0.25">
      <c r="A51" t="s">
        <v>168</v>
      </c>
      <c r="B51" t="s">
        <v>148</v>
      </c>
      <c r="C51">
        <v>0.5</v>
      </c>
    </row>
    <row r="52" spans="1:3" x14ac:dyDescent="0.25">
      <c r="A52" t="s">
        <v>168</v>
      </c>
      <c r="B52" t="s">
        <v>150</v>
      </c>
      <c r="C52">
        <v>11</v>
      </c>
    </row>
    <row r="53" spans="1:3" x14ac:dyDescent="0.25">
      <c r="A53" t="s">
        <v>168</v>
      </c>
      <c r="B53" t="s">
        <v>151</v>
      </c>
      <c r="C53">
        <v>11</v>
      </c>
    </row>
    <row r="54" spans="1:3" x14ac:dyDescent="0.25">
      <c r="A54" t="s">
        <v>168</v>
      </c>
      <c r="B54" t="s">
        <v>152</v>
      </c>
      <c r="C54">
        <v>49.6</v>
      </c>
    </row>
    <row r="55" spans="1:3" x14ac:dyDescent="0.25">
      <c r="A55" t="s">
        <v>168</v>
      </c>
      <c r="B55" t="s">
        <v>153</v>
      </c>
      <c r="C55">
        <v>11</v>
      </c>
    </row>
    <row r="56" spans="1:3" x14ac:dyDescent="0.25">
      <c r="A56" t="s">
        <v>169</v>
      </c>
      <c r="B56" t="s">
        <v>159</v>
      </c>
      <c r="C56">
        <v>1</v>
      </c>
    </row>
    <row r="57" spans="1:3" x14ac:dyDescent="0.25">
      <c r="A57" t="s">
        <v>169</v>
      </c>
      <c r="B57" t="s">
        <v>148</v>
      </c>
      <c r="C57">
        <v>1</v>
      </c>
    </row>
    <row r="58" spans="1:3" x14ac:dyDescent="0.25">
      <c r="A58" t="s">
        <v>169</v>
      </c>
      <c r="B58" t="s">
        <v>150</v>
      </c>
      <c r="C58">
        <v>1</v>
      </c>
    </row>
    <row r="59" spans="1:3" x14ac:dyDescent="0.25">
      <c r="A59" t="s">
        <v>169</v>
      </c>
      <c r="B59" t="s">
        <v>151</v>
      </c>
      <c r="C59">
        <v>1</v>
      </c>
    </row>
    <row r="60" spans="1:3" x14ac:dyDescent="0.25">
      <c r="A60" t="s">
        <v>169</v>
      </c>
      <c r="B60" t="s">
        <v>152</v>
      </c>
      <c r="C60">
        <v>1</v>
      </c>
    </row>
    <row r="61" spans="1:3" x14ac:dyDescent="0.25">
      <c r="A61" t="s">
        <v>169</v>
      </c>
      <c r="B61" t="s">
        <v>153</v>
      </c>
      <c r="C61">
        <v>1</v>
      </c>
    </row>
    <row r="62" spans="1:3" x14ac:dyDescent="0.25">
      <c r="A62" t="s">
        <v>170</v>
      </c>
      <c r="B62" t="s">
        <v>159</v>
      </c>
      <c r="C62">
        <v>0.8</v>
      </c>
    </row>
    <row r="63" spans="1:3" x14ac:dyDescent="0.25">
      <c r="A63" t="s">
        <v>170</v>
      </c>
      <c r="B63" t="s">
        <v>148</v>
      </c>
      <c r="C63">
        <v>0.4</v>
      </c>
    </row>
    <row r="64" spans="1:3" x14ac:dyDescent="0.25">
      <c r="A64" t="s">
        <v>171</v>
      </c>
      <c r="B64" t="s">
        <v>159</v>
      </c>
      <c r="C64">
        <v>3.4</v>
      </c>
    </row>
    <row r="65" spans="1:3" x14ac:dyDescent="0.25">
      <c r="A65" t="s">
        <v>171</v>
      </c>
      <c r="B65" t="s">
        <v>148</v>
      </c>
      <c r="C65">
        <v>3.4</v>
      </c>
    </row>
    <row r="66" spans="1:3" x14ac:dyDescent="0.25">
      <c r="A66" t="s">
        <v>171</v>
      </c>
      <c r="B66" t="s">
        <v>150</v>
      </c>
      <c r="C66">
        <v>3.4</v>
      </c>
    </row>
    <row r="67" spans="1:3" x14ac:dyDescent="0.25">
      <c r="A67" t="s">
        <v>171</v>
      </c>
      <c r="B67" t="s">
        <v>151</v>
      </c>
      <c r="C67">
        <v>3.4</v>
      </c>
    </row>
    <row r="68" spans="1:3" x14ac:dyDescent="0.25">
      <c r="A68" t="s">
        <v>171</v>
      </c>
      <c r="B68" t="s">
        <v>152</v>
      </c>
      <c r="C68">
        <v>3.4</v>
      </c>
    </row>
    <row r="69" spans="1:3" x14ac:dyDescent="0.25">
      <c r="A69" t="s">
        <v>171</v>
      </c>
      <c r="B69" t="s">
        <v>153</v>
      </c>
      <c r="C69">
        <v>3.4</v>
      </c>
    </row>
    <row r="70" spans="1:3" x14ac:dyDescent="0.25">
      <c r="A70" t="s">
        <v>172</v>
      </c>
      <c r="B70" t="s">
        <v>159</v>
      </c>
      <c r="C70">
        <v>12</v>
      </c>
    </row>
    <row r="71" spans="1:3" x14ac:dyDescent="0.25">
      <c r="A71" t="s">
        <v>172</v>
      </c>
      <c r="B71" t="s">
        <v>148</v>
      </c>
      <c r="C71">
        <v>12</v>
      </c>
    </row>
    <row r="72" spans="1:3" x14ac:dyDescent="0.25">
      <c r="A72" t="s">
        <v>172</v>
      </c>
      <c r="B72" t="s">
        <v>150</v>
      </c>
      <c r="C72">
        <v>12</v>
      </c>
    </row>
    <row r="73" spans="1:3" x14ac:dyDescent="0.25">
      <c r="A73" t="s">
        <v>172</v>
      </c>
      <c r="B73" t="s">
        <v>151</v>
      </c>
      <c r="C73">
        <v>12</v>
      </c>
    </row>
    <row r="74" spans="1:3" x14ac:dyDescent="0.25">
      <c r="A74" t="s">
        <v>172</v>
      </c>
      <c r="B74" t="s">
        <v>152</v>
      </c>
      <c r="C74">
        <v>12</v>
      </c>
    </row>
    <row r="75" spans="1:3" x14ac:dyDescent="0.25">
      <c r="A75" t="s">
        <v>172</v>
      </c>
      <c r="B75" t="s">
        <v>153</v>
      </c>
      <c r="C75">
        <v>12</v>
      </c>
    </row>
    <row r="76" spans="1:3" x14ac:dyDescent="0.25">
      <c r="A76" t="s">
        <v>173</v>
      </c>
      <c r="B76" t="s">
        <v>159</v>
      </c>
      <c r="C76">
        <v>1</v>
      </c>
    </row>
    <row r="77" spans="1:3" x14ac:dyDescent="0.25">
      <c r="A77" t="s">
        <v>173</v>
      </c>
      <c r="B77" t="s">
        <v>148</v>
      </c>
      <c r="C77">
        <v>1</v>
      </c>
    </row>
    <row r="78" spans="1:3" x14ac:dyDescent="0.25">
      <c r="A78" t="s">
        <v>173</v>
      </c>
      <c r="B78" t="s">
        <v>150</v>
      </c>
      <c r="C78">
        <v>5</v>
      </c>
    </row>
    <row r="79" spans="1:3" x14ac:dyDescent="0.25">
      <c r="A79" t="s">
        <v>173</v>
      </c>
      <c r="B79" t="s">
        <v>151</v>
      </c>
      <c r="C79">
        <v>5</v>
      </c>
    </row>
    <row r="80" spans="1:3" x14ac:dyDescent="0.25">
      <c r="A80" t="s">
        <v>173</v>
      </c>
      <c r="B80" t="s">
        <v>152</v>
      </c>
      <c r="C80">
        <v>5</v>
      </c>
    </row>
    <row r="81" spans="1:3" x14ac:dyDescent="0.25">
      <c r="A81" t="s">
        <v>173</v>
      </c>
      <c r="B81" t="s">
        <v>153</v>
      </c>
      <c r="C81">
        <v>32</v>
      </c>
    </row>
    <row r="82" spans="1:3" x14ac:dyDescent="0.25">
      <c r="A82" t="s">
        <v>174</v>
      </c>
      <c r="B82" t="s">
        <v>159</v>
      </c>
      <c r="C82">
        <v>15</v>
      </c>
    </row>
    <row r="83" spans="1:3" x14ac:dyDescent="0.25">
      <c r="A83" t="s">
        <v>174</v>
      </c>
      <c r="B83" t="s">
        <v>148</v>
      </c>
      <c r="C83">
        <v>15</v>
      </c>
    </row>
    <row r="84" spans="1:3" x14ac:dyDescent="0.25">
      <c r="A84" t="s">
        <v>174</v>
      </c>
      <c r="B84" t="s">
        <v>150</v>
      </c>
      <c r="C84">
        <v>50</v>
      </c>
    </row>
    <row r="85" spans="1:3" x14ac:dyDescent="0.25">
      <c r="A85" t="s">
        <v>174</v>
      </c>
      <c r="B85" t="s">
        <v>151</v>
      </c>
      <c r="C85">
        <v>50</v>
      </c>
    </row>
    <row r="86" spans="1:3" x14ac:dyDescent="0.25">
      <c r="A86" t="s">
        <v>174</v>
      </c>
      <c r="B86" t="s">
        <v>152</v>
      </c>
      <c r="C86">
        <v>50</v>
      </c>
    </row>
    <row r="87" spans="1:3" x14ac:dyDescent="0.25">
      <c r="A87" t="s">
        <v>174</v>
      </c>
      <c r="B87" t="s">
        <v>153</v>
      </c>
      <c r="C87">
        <v>200</v>
      </c>
    </row>
    <row r="88" spans="1:3" x14ac:dyDescent="0.25">
      <c r="A88" t="s">
        <v>175</v>
      </c>
      <c r="B88" t="s">
        <v>159</v>
      </c>
      <c r="C88">
        <v>26</v>
      </c>
    </row>
    <row r="89" spans="1:3" x14ac:dyDescent="0.25">
      <c r="A89" t="s">
        <v>175</v>
      </c>
      <c r="B89" t="s">
        <v>148</v>
      </c>
      <c r="C89">
        <v>5</v>
      </c>
    </row>
    <row r="90" spans="1:3" x14ac:dyDescent="0.25">
      <c r="A90" t="s">
        <v>175</v>
      </c>
      <c r="B90" t="s">
        <v>150</v>
      </c>
      <c r="C90">
        <v>1</v>
      </c>
    </row>
    <row r="91" spans="1:3" x14ac:dyDescent="0.25">
      <c r="A91" t="s">
        <v>175</v>
      </c>
      <c r="B91" t="s">
        <v>151</v>
      </c>
      <c r="C91">
        <v>1</v>
      </c>
    </row>
    <row r="92" spans="1:3" x14ac:dyDescent="0.25">
      <c r="A92" t="s">
        <v>175</v>
      </c>
      <c r="B92" t="s">
        <v>152</v>
      </c>
      <c r="C92">
        <v>1</v>
      </c>
    </row>
    <row r="93" spans="1:3" x14ac:dyDescent="0.25">
      <c r="A93" t="s">
        <v>175</v>
      </c>
      <c r="B93" t="s">
        <v>153</v>
      </c>
      <c r="C93">
        <v>1</v>
      </c>
    </row>
  </sheetData>
  <autoFilter ref="A1:C93" xr:uid="{32D95BEB-DABC-4410-B5D8-F33F079CD882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BA3FF-82B5-4D1D-96F2-636FBA087A67}">
  <dimension ref="A1:C70"/>
  <sheetViews>
    <sheetView topLeftCell="A43" workbookViewId="0">
      <selection activeCell="B62" sqref="B62:B64"/>
    </sheetView>
  </sheetViews>
  <sheetFormatPr defaultRowHeight="15" x14ac:dyDescent="0.25"/>
  <cols>
    <col min="1" max="1" width="13.28515625" bestFit="1" customWidth="1"/>
  </cols>
  <sheetData>
    <row r="1" spans="1:3" x14ac:dyDescent="0.25">
      <c r="A1" s="4" t="s">
        <v>147</v>
      </c>
      <c r="B1" t="s">
        <v>146</v>
      </c>
      <c r="C1" t="s">
        <v>345</v>
      </c>
    </row>
    <row r="2" spans="1:3" x14ac:dyDescent="0.25">
      <c r="A2" s="4" t="s">
        <v>22</v>
      </c>
      <c r="B2" t="s">
        <v>159</v>
      </c>
      <c r="C2">
        <v>230</v>
      </c>
    </row>
    <row r="3" spans="1:3" x14ac:dyDescent="0.25">
      <c r="A3" s="4" t="s">
        <v>22</v>
      </c>
      <c r="B3" t="s">
        <v>148</v>
      </c>
      <c r="C3">
        <v>230</v>
      </c>
    </row>
    <row r="4" spans="1:3" x14ac:dyDescent="0.25">
      <c r="A4" s="4" t="s">
        <v>22</v>
      </c>
      <c r="B4" t="s">
        <v>150</v>
      </c>
      <c r="C4">
        <v>230</v>
      </c>
    </row>
    <row r="5" spans="1:3" x14ac:dyDescent="0.25">
      <c r="A5" s="4" t="s">
        <v>22</v>
      </c>
      <c r="B5" t="s">
        <v>151</v>
      </c>
      <c r="C5">
        <v>230</v>
      </c>
    </row>
    <row r="6" spans="1:3" x14ac:dyDescent="0.25">
      <c r="A6" s="4" t="s">
        <v>22</v>
      </c>
      <c r="B6" t="s">
        <v>152</v>
      </c>
      <c r="C6">
        <v>230</v>
      </c>
    </row>
    <row r="7" spans="1:3" x14ac:dyDescent="0.25">
      <c r="A7" s="4" t="s">
        <v>22</v>
      </c>
      <c r="B7" t="s">
        <v>153</v>
      </c>
      <c r="C7">
        <v>230</v>
      </c>
    </row>
    <row r="8" spans="1:3" x14ac:dyDescent="0.25">
      <c r="A8" s="4" t="s">
        <v>176</v>
      </c>
      <c r="B8" t="s">
        <v>159</v>
      </c>
      <c r="C8">
        <v>2320</v>
      </c>
    </row>
    <row r="9" spans="1:3" x14ac:dyDescent="0.25">
      <c r="A9" s="4" t="s">
        <v>176</v>
      </c>
      <c r="B9" t="s">
        <v>148</v>
      </c>
      <c r="C9">
        <v>2320</v>
      </c>
    </row>
    <row r="10" spans="1:3" x14ac:dyDescent="0.25">
      <c r="A10" s="4" t="s">
        <v>176</v>
      </c>
      <c r="B10" t="s">
        <v>150</v>
      </c>
      <c r="C10">
        <v>2320</v>
      </c>
    </row>
    <row r="11" spans="1:3" x14ac:dyDescent="0.25">
      <c r="A11" s="4" t="s">
        <v>176</v>
      </c>
      <c r="B11" t="s">
        <v>151</v>
      </c>
      <c r="C11">
        <v>2320</v>
      </c>
    </row>
    <row r="12" spans="1:3" x14ac:dyDescent="0.25">
      <c r="A12" s="4" t="s">
        <v>176</v>
      </c>
      <c r="B12" t="s">
        <v>152</v>
      </c>
      <c r="C12">
        <v>2320</v>
      </c>
    </row>
    <row r="13" spans="1:3" x14ac:dyDescent="0.25">
      <c r="A13" s="4" t="s">
        <v>176</v>
      </c>
      <c r="B13" t="s">
        <v>153</v>
      </c>
      <c r="C13">
        <v>2320</v>
      </c>
    </row>
    <row r="14" spans="1:3" x14ac:dyDescent="0.25">
      <c r="A14" t="s">
        <v>177</v>
      </c>
      <c r="B14" t="s">
        <v>159</v>
      </c>
      <c r="C14">
        <v>7.59</v>
      </c>
    </row>
    <row r="15" spans="1:3" x14ac:dyDescent="0.25">
      <c r="A15" t="s">
        <v>177</v>
      </c>
      <c r="B15" t="s">
        <v>148</v>
      </c>
      <c r="C15">
        <v>7.59</v>
      </c>
    </row>
    <row r="16" spans="1:3" x14ac:dyDescent="0.25">
      <c r="A16" t="s">
        <v>177</v>
      </c>
      <c r="B16" t="s">
        <v>150</v>
      </c>
      <c r="C16">
        <v>7.59</v>
      </c>
    </row>
    <row r="17" spans="1:3" x14ac:dyDescent="0.25">
      <c r="A17" t="s">
        <v>177</v>
      </c>
      <c r="B17" t="s">
        <v>151</v>
      </c>
      <c r="C17">
        <v>7.59</v>
      </c>
    </row>
    <row r="18" spans="1:3" x14ac:dyDescent="0.25">
      <c r="A18" t="s">
        <v>177</v>
      </c>
      <c r="B18" t="s">
        <v>152</v>
      </c>
      <c r="C18">
        <v>7.59</v>
      </c>
    </row>
    <row r="19" spans="1:3" x14ac:dyDescent="0.25">
      <c r="A19" t="s">
        <v>177</v>
      </c>
      <c r="B19" t="s">
        <v>153</v>
      </c>
      <c r="C19">
        <v>7.59</v>
      </c>
    </row>
    <row r="20" spans="1:3" x14ac:dyDescent="0.25">
      <c r="A20" t="s">
        <v>178</v>
      </c>
      <c r="B20" t="s">
        <v>159</v>
      </c>
      <c r="C20">
        <v>2502</v>
      </c>
    </row>
    <row r="21" spans="1:3" x14ac:dyDescent="0.25">
      <c r="A21" t="s">
        <v>178</v>
      </c>
      <c r="B21" t="s">
        <v>148</v>
      </c>
      <c r="C21">
        <v>2502</v>
      </c>
    </row>
    <row r="22" spans="1:3" x14ac:dyDescent="0.25">
      <c r="A22" t="s">
        <v>178</v>
      </c>
      <c r="B22" t="s">
        <v>150</v>
      </c>
      <c r="C22">
        <v>2502</v>
      </c>
    </row>
    <row r="23" spans="1:3" x14ac:dyDescent="0.25">
      <c r="A23" t="s">
        <v>178</v>
      </c>
      <c r="B23" t="s">
        <v>151</v>
      </c>
      <c r="C23">
        <v>2502</v>
      </c>
    </row>
    <row r="24" spans="1:3" x14ac:dyDescent="0.25">
      <c r="A24" t="s">
        <v>178</v>
      </c>
      <c r="B24" t="s">
        <v>152</v>
      </c>
      <c r="C24">
        <v>2502</v>
      </c>
    </row>
    <row r="25" spans="1:3" x14ac:dyDescent="0.25">
      <c r="A25" t="s">
        <v>178</v>
      </c>
      <c r="B25" t="s">
        <v>153</v>
      </c>
      <c r="C25">
        <v>2502</v>
      </c>
    </row>
    <row r="26" spans="1:3" x14ac:dyDescent="0.25">
      <c r="A26" t="s">
        <v>179</v>
      </c>
      <c r="B26" t="s">
        <v>159</v>
      </c>
      <c r="C26">
        <v>1</v>
      </c>
    </row>
    <row r="27" spans="1:3" x14ac:dyDescent="0.25">
      <c r="A27" t="s">
        <v>179</v>
      </c>
      <c r="B27" t="s">
        <v>148</v>
      </c>
      <c r="C27">
        <v>1</v>
      </c>
    </row>
    <row r="28" spans="1:3" x14ac:dyDescent="0.25">
      <c r="A28" t="s">
        <v>179</v>
      </c>
      <c r="B28" t="s">
        <v>150</v>
      </c>
      <c r="C28">
        <v>1</v>
      </c>
    </row>
    <row r="29" spans="1:3" x14ac:dyDescent="0.25">
      <c r="A29" t="s">
        <v>179</v>
      </c>
      <c r="B29" t="s">
        <v>151</v>
      </c>
      <c r="C29">
        <v>1</v>
      </c>
    </row>
    <row r="30" spans="1:3" x14ac:dyDescent="0.25">
      <c r="A30" t="s">
        <v>179</v>
      </c>
      <c r="B30" t="s">
        <v>152</v>
      </c>
      <c r="C30">
        <v>1</v>
      </c>
    </row>
    <row r="31" spans="1:3" x14ac:dyDescent="0.25">
      <c r="A31" t="s">
        <v>179</v>
      </c>
      <c r="B31" t="s">
        <v>153</v>
      </c>
      <c r="C31">
        <v>1</v>
      </c>
    </row>
    <row r="32" spans="1:3" x14ac:dyDescent="0.25">
      <c r="A32" t="s">
        <v>23</v>
      </c>
      <c r="B32" t="s">
        <v>159</v>
      </c>
      <c r="C32">
        <v>10.93</v>
      </c>
    </row>
    <row r="33" spans="1:3" x14ac:dyDescent="0.25">
      <c r="A33" t="s">
        <v>23</v>
      </c>
      <c r="B33" t="s">
        <v>148</v>
      </c>
      <c r="C33">
        <v>10.93</v>
      </c>
    </row>
    <row r="34" spans="1:3" x14ac:dyDescent="0.25">
      <c r="A34" t="s">
        <v>23</v>
      </c>
      <c r="B34" t="s">
        <v>150</v>
      </c>
      <c r="C34">
        <v>10.93</v>
      </c>
    </row>
    <row r="35" spans="1:3" x14ac:dyDescent="0.25">
      <c r="A35" t="s">
        <v>23</v>
      </c>
      <c r="B35" t="s">
        <v>151</v>
      </c>
      <c r="C35">
        <v>10.93</v>
      </c>
    </row>
    <row r="36" spans="1:3" x14ac:dyDescent="0.25">
      <c r="A36" t="s">
        <v>23</v>
      </c>
      <c r="B36" t="s">
        <v>152</v>
      </c>
      <c r="C36">
        <v>10.93</v>
      </c>
    </row>
    <row r="37" spans="1:3" x14ac:dyDescent="0.25">
      <c r="A37" t="s">
        <v>23</v>
      </c>
      <c r="B37" t="s">
        <v>153</v>
      </c>
      <c r="C37">
        <v>10.93</v>
      </c>
    </row>
    <row r="38" spans="1:3" x14ac:dyDescent="0.25">
      <c r="A38" t="s">
        <v>180</v>
      </c>
      <c r="B38" t="s">
        <v>159</v>
      </c>
      <c r="C38">
        <v>20.6</v>
      </c>
    </row>
    <row r="39" spans="1:3" x14ac:dyDescent="0.25">
      <c r="A39" t="s">
        <v>180</v>
      </c>
      <c r="B39" t="s">
        <v>148</v>
      </c>
      <c r="C39">
        <v>20.6</v>
      </c>
    </row>
    <row r="40" spans="1:3" x14ac:dyDescent="0.25">
      <c r="A40" t="s">
        <v>180</v>
      </c>
      <c r="B40" t="s">
        <v>150</v>
      </c>
      <c r="C40">
        <v>20.6</v>
      </c>
    </row>
    <row r="41" spans="1:3" x14ac:dyDescent="0.25">
      <c r="A41" t="s">
        <v>180</v>
      </c>
      <c r="B41" t="s">
        <v>151</v>
      </c>
      <c r="C41">
        <v>20.6</v>
      </c>
    </row>
    <row r="42" spans="1:3" x14ac:dyDescent="0.25">
      <c r="A42" t="s">
        <v>180</v>
      </c>
      <c r="B42" t="s">
        <v>152</v>
      </c>
      <c r="C42">
        <v>20.6</v>
      </c>
    </row>
    <row r="43" spans="1:3" x14ac:dyDescent="0.25">
      <c r="A43" t="s">
        <v>180</v>
      </c>
      <c r="B43" t="s">
        <v>153</v>
      </c>
      <c r="C43">
        <v>20.6</v>
      </c>
    </row>
    <row r="44" spans="1:3" x14ac:dyDescent="0.25">
      <c r="A44" t="s">
        <v>181</v>
      </c>
      <c r="B44" t="s">
        <v>159</v>
      </c>
      <c r="C44">
        <v>7.45</v>
      </c>
    </row>
    <row r="45" spans="1:3" x14ac:dyDescent="0.25">
      <c r="A45" t="s">
        <v>181</v>
      </c>
      <c r="B45" t="s">
        <v>148</v>
      </c>
      <c r="C45">
        <v>7.45</v>
      </c>
    </row>
    <row r="46" spans="1:3" x14ac:dyDescent="0.25">
      <c r="A46" t="s">
        <v>181</v>
      </c>
      <c r="B46" t="s">
        <v>150</v>
      </c>
      <c r="C46">
        <v>7.45</v>
      </c>
    </row>
    <row r="47" spans="1:3" x14ac:dyDescent="0.25">
      <c r="A47" t="s">
        <v>181</v>
      </c>
      <c r="B47" t="s">
        <v>151</v>
      </c>
      <c r="C47">
        <v>7.45</v>
      </c>
    </row>
    <row r="48" spans="1:3" x14ac:dyDescent="0.25">
      <c r="A48" t="s">
        <v>181</v>
      </c>
      <c r="B48" t="s">
        <v>152</v>
      </c>
      <c r="C48">
        <v>7.45</v>
      </c>
    </row>
    <row r="49" spans="1:3" x14ac:dyDescent="0.25">
      <c r="A49" t="s">
        <v>181</v>
      </c>
      <c r="B49" t="s">
        <v>153</v>
      </c>
      <c r="C49">
        <v>7.45</v>
      </c>
    </row>
    <row r="50" spans="1:3" x14ac:dyDescent="0.25">
      <c r="A50" t="s">
        <v>79</v>
      </c>
      <c r="B50" t="s">
        <v>159</v>
      </c>
      <c r="C50">
        <v>3.3</v>
      </c>
    </row>
    <row r="51" spans="1:3" x14ac:dyDescent="0.25">
      <c r="A51" t="s">
        <v>79</v>
      </c>
      <c r="B51" t="s">
        <v>148</v>
      </c>
      <c r="C51">
        <v>3.3</v>
      </c>
    </row>
    <row r="52" spans="1:3" x14ac:dyDescent="0.25">
      <c r="A52" t="s">
        <v>79</v>
      </c>
      <c r="B52" t="s">
        <v>150</v>
      </c>
      <c r="C52">
        <v>3.2</v>
      </c>
    </row>
    <row r="53" spans="1:3" x14ac:dyDescent="0.25">
      <c r="A53" t="s">
        <v>79</v>
      </c>
      <c r="B53" t="s">
        <v>151</v>
      </c>
      <c r="C53">
        <v>3.2</v>
      </c>
    </row>
    <row r="54" spans="1:3" x14ac:dyDescent="0.25">
      <c r="A54" t="s">
        <v>79</v>
      </c>
      <c r="B54" t="s">
        <v>152</v>
      </c>
      <c r="C54">
        <v>3.1</v>
      </c>
    </row>
    <row r="55" spans="1:3" x14ac:dyDescent="0.25">
      <c r="A55" t="s">
        <v>79</v>
      </c>
      <c r="B55" t="s">
        <v>153</v>
      </c>
      <c r="C55">
        <v>3.1</v>
      </c>
    </row>
    <row r="56" spans="1:3" x14ac:dyDescent="0.25">
      <c r="A56" t="s">
        <v>75</v>
      </c>
      <c r="B56" t="s">
        <v>159</v>
      </c>
      <c r="C56">
        <v>2.11</v>
      </c>
    </row>
    <row r="57" spans="1:3" x14ac:dyDescent="0.25">
      <c r="A57" t="s">
        <v>75</v>
      </c>
      <c r="B57" t="s">
        <v>148</v>
      </c>
      <c r="C57">
        <v>2.11</v>
      </c>
    </row>
    <row r="58" spans="1:3" x14ac:dyDescent="0.25">
      <c r="A58" t="s">
        <v>75</v>
      </c>
      <c r="B58" t="s">
        <v>150</v>
      </c>
      <c r="C58">
        <v>2.11</v>
      </c>
    </row>
    <row r="59" spans="1:3" x14ac:dyDescent="0.25">
      <c r="A59" t="s">
        <v>75</v>
      </c>
      <c r="B59" t="s">
        <v>151</v>
      </c>
      <c r="C59">
        <v>2.11</v>
      </c>
    </row>
    <row r="60" spans="1:3" x14ac:dyDescent="0.25">
      <c r="A60" t="s">
        <v>75</v>
      </c>
      <c r="B60" t="s">
        <v>152</v>
      </c>
      <c r="C60">
        <v>2.11</v>
      </c>
    </row>
    <row r="61" spans="1:3" x14ac:dyDescent="0.25">
      <c r="A61" t="s">
        <v>75</v>
      </c>
      <c r="B61" t="s">
        <v>153</v>
      </c>
      <c r="C61">
        <v>2.11</v>
      </c>
    </row>
    <row r="62" spans="1:3" x14ac:dyDescent="0.25">
      <c r="A62" t="s">
        <v>614</v>
      </c>
      <c r="B62" t="s">
        <v>151</v>
      </c>
      <c r="C62">
        <v>1.71</v>
      </c>
    </row>
    <row r="63" spans="1:3" x14ac:dyDescent="0.25">
      <c r="A63" t="s">
        <v>614</v>
      </c>
      <c r="B63" t="s">
        <v>152</v>
      </c>
      <c r="C63">
        <v>1.71</v>
      </c>
    </row>
    <row r="64" spans="1:3" x14ac:dyDescent="0.25">
      <c r="A64" t="s">
        <v>614</v>
      </c>
      <c r="B64" t="s">
        <v>153</v>
      </c>
      <c r="C64">
        <v>1.51</v>
      </c>
    </row>
    <row r="65" spans="1:3" x14ac:dyDescent="0.25">
      <c r="A65" t="s">
        <v>182</v>
      </c>
      <c r="B65" t="s">
        <v>159</v>
      </c>
      <c r="C65">
        <v>2.5</v>
      </c>
    </row>
    <row r="66" spans="1:3" x14ac:dyDescent="0.25">
      <c r="A66" t="s">
        <v>182</v>
      </c>
      <c r="B66" t="s">
        <v>148</v>
      </c>
      <c r="C66">
        <v>2.5</v>
      </c>
    </row>
    <row r="67" spans="1:3" x14ac:dyDescent="0.25">
      <c r="A67" t="s">
        <v>182</v>
      </c>
      <c r="B67" t="s">
        <v>150</v>
      </c>
      <c r="C67">
        <v>2.5</v>
      </c>
    </row>
    <row r="68" spans="1:3" x14ac:dyDescent="0.25">
      <c r="A68" t="s">
        <v>182</v>
      </c>
      <c r="B68" t="s">
        <v>151</v>
      </c>
      <c r="C68">
        <v>2.5</v>
      </c>
    </row>
    <row r="69" spans="1:3" x14ac:dyDescent="0.25">
      <c r="A69" t="s">
        <v>182</v>
      </c>
      <c r="B69" t="s">
        <v>152</v>
      </c>
      <c r="C69">
        <v>2.5</v>
      </c>
    </row>
    <row r="70" spans="1:3" x14ac:dyDescent="0.25">
      <c r="A70" t="s">
        <v>182</v>
      </c>
      <c r="B70" t="s">
        <v>153</v>
      </c>
      <c r="C70">
        <v>2.5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F1F31-BD57-477B-98CB-70C5803E8A70}">
  <dimension ref="A1:AB82"/>
  <sheetViews>
    <sheetView workbookViewId="0">
      <selection activeCell="U28" sqref="A1:XFD1048576"/>
    </sheetView>
  </sheetViews>
  <sheetFormatPr defaultRowHeight="15" x14ac:dyDescent="0.25"/>
  <cols>
    <col min="1" max="1" width="6.140625" bestFit="1" customWidth="1"/>
    <col min="2" max="2" width="10.7109375" bestFit="1" customWidth="1"/>
    <col min="3" max="3" width="9.42578125" bestFit="1" customWidth="1"/>
    <col min="4" max="4" width="10.42578125" bestFit="1" customWidth="1"/>
    <col min="5" max="5" width="10.85546875" bestFit="1" customWidth="1"/>
    <col min="6" max="6" width="8.42578125" bestFit="1" customWidth="1"/>
    <col min="7" max="7" width="8.5703125" bestFit="1" customWidth="1"/>
    <col min="10" max="10" width="9.5703125" bestFit="1" customWidth="1"/>
    <col min="11" max="11" width="10.28515625" bestFit="1" customWidth="1"/>
    <col min="12" max="12" width="11.85546875" bestFit="1" customWidth="1"/>
    <col min="13" max="13" width="9" bestFit="1" customWidth="1"/>
    <col min="14" max="14" width="10" bestFit="1" customWidth="1"/>
    <col min="15" max="15" width="10.42578125" bestFit="1" customWidth="1"/>
    <col min="16" max="16" width="8" bestFit="1" customWidth="1"/>
    <col min="17" max="17" width="8.140625" bestFit="1" customWidth="1"/>
    <col min="18" max="19" width="8.7109375" bestFit="1" customWidth="1"/>
    <col min="21" max="21" width="9.85546875" bestFit="1" customWidth="1"/>
    <col min="22" max="23" width="9.7109375" bestFit="1" customWidth="1"/>
    <col min="24" max="24" width="8.7109375" bestFit="1" customWidth="1"/>
    <col min="25" max="25" width="10.28515625" bestFit="1" customWidth="1"/>
    <col min="26" max="26" width="9.85546875" bestFit="1" customWidth="1"/>
    <col min="27" max="27" width="9.5703125" bestFit="1" customWidth="1"/>
    <col min="28" max="28" width="9.7109375" bestFit="1" customWidth="1"/>
  </cols>
  <sheetData>
    <row r="1" spans="1:28" x14ac:dyDescent="0.25">
      <c r="A1" t="s">
        <v>2</v>
      </c>
      <c r="B1" t="s">
        <v>89</v>
      </c>
      <c r="C1" t="s">
        <v>183</v>
      </c>
      <c r="D1" t="s">
        <v>184</v>
      </c>
      <c r="E1" t="s">
        <v>185</v>
      </c>
      <c r="F1" t="s">
        <v>186</v>
      </c>
      <c r="G1" t="s">
        <v>187</v>
      </c>
      <c r="H1" t="s">
        <v>188</v>
      </c>
      <c r="I1" t="s">
        <v>189</v>
      </c>
      <c r="J1" t="s">
        <v>190</v>
      </c>
      <c r="K1" t="s">
        <v>191</v>
      </c>
      <c r="L1" t="s">
        <v>253</v>
      </c>
      <c r="M1" t="s">
        <v>254</v>
      </c>
      <c r="N1" t="s">
        <v>255</v>
      </c>
      <c r="O1" t="s">
        <v>256</v>
      </c>
      <c r="P1" t="s">
        <v>257</v>
      </c>
      <c r="Q1" t="s">
        <v>258</v>
      </c>
      <c r="R1" t="s">
        <v>259</v>
      </c>
      <c r="S1" t="s">
        <v>260</v>
      </c>
      <c r="T1" t="s">
        <v>261</v>
      </c>
      <c r="U1" t="s">
        <v>262</v>
      </c>
      <c r="V1" t="s">
        <v>82</v>
      </c>
      <c r="W1" t="s">
        <v>65</v>
      </c>
      <c r="X1" t="s">
        <v>106</v>
      </c>
      <c r="Y1" t="s">
        <v>104</v>
      </c>
      <c r="Z1" t="s">
        <v>102</v>
      </c>
      <c r="AA1" t="s">
        <v>93</v>
      </c>
      <c r="AB1" t="s">
        <v>70</v>
      </c>
    </row>
    <row r="2" spans="1:28" x14ac:dyDescent="0.25">
      <c r="A2" t="s">
        <v>6</v>
      </c>
      <c r="B2">
        <v>2.14</v>
      </c>
      <c r="C2">
        <v>0.309</v>
      </c>
      <c r="D2">
        <v>0.02</v>
      </c>
      <c r="E2">
        <v>0.105</v>
      </c>
      <c r="F2">
        <v>0</v>
      </c>
      <c r="G2">
        <v>0.14899999999999999</v>
      </c>
      <c r="H2">
        <v>0</v>
      </c>
      <c r="I2">
        <v>0</v>
      </c>
      <c r="J2">
        <v>0</v>
      </c>
      <c r="K2">
        <v>3.0670000000000002</v>
      </c>
      <c r="L2">
        <v>2.3E-2</v>
      </c>
      <c r="M2">
        <v>3.665</v>
      </c>
      <c r="N2">
        <v>0.17799999999999999</v>
      </c>
      <c r="O2">
        <v>0.30399999999999999</v>
      </c>
      <c r="P2">
        <v>0</v>
      </c>
      <c r="Q2">
        <v>0</v>
      </c>
      <c r="R2">
        <v>0</v>
      </c>
      <c r="S2">
        <v>0</v>
      </c>
      <c r="T2">
        <v>0</v>
      </c>
      <c r="U2">
        <v>0.35</v>
      </c>
      <c r="V2">
        <v>0.65200000000000002</v>
      </c>
      <c r="W2">
        <v>0.16800000000000001</v>
      </c>
      <c r="X2">
        <v>0.03</v>
      </c>
      <c r="Y2">
        <v>0.112</v>
      </c>
      <c r="Z2">
        <v>0.54200000000000004</v>
      </c>
      <c r="AA2">
        <v>0.14699999999999999</v>
      </c>
      <c r="AB2">
        <v>0</v>
      </c>
    </row>
    <row r="3" spans="1:28" x14ac:dyDescent="0.25">
      <c r="A3" t="s">
        <v>192</v>
      </c>
      <c r="B3">
        <v>2.4279999999999999</v>
      </c>
      <c r="C3">
        <v>0.52200000000000002</v>
      </c>
      <c r="D3">
        <v>3.6999999999999998E-2</v>
      </c>
      <c r="E3">
        <v>7.5999999999999998E-2</v>
      </c>
      <c r="F3">
        <v>0</v>
      </c>
      <c r="G3">
        <v>0.57299999999999995</v>
      </c>
      <c r="H3">
        <v>0</v>
      </c>
      <c r="I3">
        <v>0</v>
      </c>
      <c r="J3">
        <v>2.1360000000000001</v>
      </c>
      <c r="K3">
        <v>3.9E-2</v>
      </c>
      <c r="L3">
        <v>5.7000000000000002E-2</v>
      </c>
      <c r="M3">
        <v>1.369</v>
      </c>
      <c r="N3">
        <v>0.182</v>
      </c>
      <c r="O3">
        <v>0.20100000000000001</v>
      </c>
      <c r="P3">
        <v>0</v>
      </c>
      <c r="Q3">
        <v>0.03</v>
      </c>
      <c r="R3">
        <v>0</v>
      </c>
      <c r="S3">
        <v>0</v>
      </c>
      <c r="T3">
        <v>0.28799999999999998</v>
      </c>
      <c r="U3">
        <v>3.0000000000000001E-3</v>
      </c>
      <c r="V3">
        <v>1.3819999999999999</v>
      </c>
      <c r="W3">
        <v>0.502</v>
      </c>
      <c r="X3">
        <v>1.6E-2</v>
      </c>
      <c r="Y3">
        <v>0</v>
      </c>
      <c r="Z3">
        <v>0.95699999999999996</v>
      </c>
      <c r="AA3">
        <v>5.5E-2</v>
      </c>
      <c r="AB3">
        <v>0</v>
      </c>
    </row>
    <row r="4" spans="1:28" x14ac:dyDescent="0.25">
      <c r="A4" t="s">
        <v>193</v>
      </c>
      <c r="B4">
        <v>10.712</v>
      </c>
      <c r="C4">
        <v>0.59799999999999998</v>
      </c>
      <c r="D4">
        <v>4.1000000000000002E-2</v>
      </c>
      <c r="E4">
        <v>5.7000000000000002E-2</v>
      </c>
      <c r="F4">
        <v>0</v>
      </c>
      <c r="G4">
        <v>0.17699999999999999</v>
      </c>
      <c r="H4">
        <v>0</v>
      </c>
      <c r="I4">
        <v>0</v>
      </c>
      <c r="J4">
        <v>0.18099999999999999</v>
      </c>
      <c r="K4">
        <v>4.0090000000000003</v>
      </c>
      <c r="L4">
        <v>8.9999999999999993E-3</v>
      </c>
      <c r="M4">
        <v>1.677</v>
      </c>
      <c r="N4">
        <v>0.53100000000000003</v>
      </c>
      <c r="O4">
        <v>4.9000000000000002E-2</v>
      </c>
      <c r="P4">
        <v>0</v>
      </c>
      <c r="Q4">
        <v>1.2999999999999999E-2</v>
      </c>
      <c r="R4">
        <v>0</v>
      </c>
      <c r="S4">
        <v>0</v>
      </c>
      <c r="T4">
        <v>0</v>
      </c>
      <c r="U4">
        <v>0.16</v>
      </c>
      <c r="V4">
        <v>1.98</v>
      </c>
      <c r="W4">
        <v>0.41599999999999998</v>
      </c>
      <c r="X4">
        <v>4.0000000000000001E-3</v>
      </c>
      <c r="Y4">
        <v>0</v>
      </c>
      <c r="Z4">
        <v>1.288</v>
      </c>
      <c r="AA4">
        <v>46.773000000000003</v>
      </c>
      <c r="AB4">
        <v>0.05</v>
      </c>
    </row>
    <row r="5" spans="1:28" x14ac:dyDescent="0.25">
      <c r="A5" t="s">
        <v>194</v>
      </c>
      <c r="B5">
        <v>3.3079999999999998</v>
      </c>
      <c r="C5">
        <v>0.47099999999999997</v>
      </c>
      <c r="D5">
        <v>4.0000000000000001E-3</v>
      </c>
      <c r="E5">
        <v>1.2999999999999999E-2</v>
      </c>
      <c r="F5">
        <v>0</v>
      </c>
      <c r="G5">
        <v>0.20100000000000001</v>
      </c>
      <c r="H5">
        <v>0</v>
      </c>
      <c r="I5">
        <v>0</v>
      </c>
      <c r="J5">
        <v>5.3730000000000002</v>
      </c>
      <c r="K5">
        <v>8.9999999999999993E-3</v>
      </c>
      <c r="L5">
        <v>0.05</v>
      </c>
      <c r="M5">
        <v>1.625</v>
      </c>
      <c r="N5">
        <v>0.13600000000000001</v>
      </c>
      <c r="O5">
        <v>8.3000000000000004E-2</v>
      </c>
      <c r="P5">
        <v>0</v>
      </c>
      <c r="Q5">
        <v>4.3999999999999997E-2</v>
      </c>
      <c r="R5">
        <v>0</v>
      </c>
      <c r="S5">
        <v>0</v>
      </c>
      <c r="T5">
        <v>0.46500000000000002</v>
      </c>
      <c r="U5">
        <v>1E-3</v>
      </c>
      <c r="V5">
        <v>1.3819999999999999</v>
      </c>
      <c r="W5">
        <v>1.0269999999999999</v>
      </c>
      <c r="X5">
        <v>2.4E-2</v>
      </c>
      <c r="Y5">
        <v>0</v>
      </c>
      <c r="Z5">
        <v>0.58899999999999997</v>
      </c>
      <c r="AA5">
        <v>6.2E-2</v>
      </c>
      <c r="AB5">
        <v>0</v>
      </c>
    </row>
    <row r="6" spans="1:28" x14ac:dyDescent="0.25">
      <c r="A6" t="s">
        <v>49</v>
      </c>
      <c r="B6">
        <v>28.594999999999999</v>
      </c>
      <c r="C6">
        <v>2.262</v>
      </c>
      <c r="D6">
        <v>6.7000000000000004E-2</v>
      </c>
      <c r="E6">
        <v>0.112</v>
      </c>
      <c r="F6">
        <v>0</v>
      </c>
      <c r="G6">
        <v>0.105</v>
      </c>
      <c r="H6">
        <v>0</v>
      </c>
      <c r="I6">
        <v>0</v>
      </c>
      <c r="J6">
        <v>3.028</v>
      </c>
      <c r="K6">
        <v>2.5999999999999999E-2</v>
      </c>
      <c r="L6">
        <v>0.22500000000000001</v>
      </c>
      <c r="M6">
        <v>3.4950000000000001</v>
      </c>
      <c r="N6">
        <v>0.23200000000000001</v>
      </c>
      <c r="O6">
        <v>0.309</v>
      </c>
      <c r="P6">
        <v>0</v>
      </c>
      <c r="Q6">
        <v>3.3000000000000002E-2</v>
      </c>
      <c r="R6">
        <v>0</v>
      </c>
      <c r="S6">
        <v>0</v>
      </c>
      <c r="T6">
        <v>0.36699999999999999</v>
      </c>
      <c r="U6">
        <v>3.0000000000000001E-3</v>
      </c>
      <c r="V6">
        <v>2.831</v>
      </c>
      <c r="W6">
        <v>3.2480000000000002</v>
      </c>
      <c r="X6">
        <v>0.11600000000000001</v>
      </c>
      <c r="Y6">
        <v>0.54300000000000004</v>
      </c>
      <c r="Z6">
        <v>3.214</v>
      </c>
      <c r="AA6">
        <v>5.56</v>
      </c>
      <c r="AB6">
        <v>0.05</v>
      </c>
    </row>
    <row r="7" spans="1:28" x14ac:dyDescent="0.25">
      <c r="A7" t="s">
        <v>7</v>
      </c>
      <c r="B7">
        <v>79.046999999999997</v>
      </c>
      <c r="C7">
        <v>0.98899999999999999</v>
      </c>
      <c r="D7">
        <v>0.33</v>
      </c>
      <c r="E7">
        <v>0.251</v>
      </c>
      <c r="F7">
        <v>0</v>
      </c>
      <c r="G7">
        <v>0.115</v>
      </c>
      <c r="H7">
        <v>0</v>
      </c>
      <c r="I7">
        <v>0</v>
      </c>
      <c r="J7">
        <v>1E-3</v>
      </c>
      <c r="K7">
        <v>2.3079999999999998</v>
      </c>
      <c r="L7">
        <v>5.5E-2</v>
      </c>
      <c r="M7">
        <v>1.9510000000000001</v>
      </c>
      <c r="N7">
        <v>0.30499999999999999</v>
      </c>
      <c r="O7">
        <v>0.128</v>
      </c>
      <c r="P7">
        <v>0</v>
      </c>
      <c r="Q7">
        <v>8.9999999999999993E-3</v>
      </c>
      <c r="R7">
        <v>0</v>
      </c>
      <c r="S7">
        <v>0</v>
      </c>
      <c r="T7">
        <v>0</v>
      </c>
      <c r="U7">
        <v>0.19400000000000001</v>
      </c>
      <c r="V7">
        <v>12.840999999999999</v>
      </c>
      <c r="W7">
        <v>2.371</v>
      </c>
      <c r="X7">
        <v>2.2810000000000001</v>
      </c>
      <c r="Y7">
        <v>18.55</v>
      </c>
      <c r="Z7">
        <v>6.01</v>
      </c>
      <c r="AA7">
        <v>38.079000000000001</v>
      </c>
      <c r="AB7">
        <v>1.6E-2</v>
      </c>
    </row>
    <row r="8" spans="1:28" x14ac:dyDescent="0.25">
      <c r="A8" t="s">
        <v>195</v>
      </c>
      <c r="B8">
        <v>0.75700000000000001</v>
      </c>
      <c r="C8">
        <v>0.09</v>
      </c>
      <c r="D8">
        <v>4.0000000000000001E-3</v>
      </c>
      <c r="E8">
        <v>4.0000000000000001E-3</v>
      </c>
      <c r="F8">
        <v>0</v>
      </c>
      <c r="G8">
        <v>0</v>
      </c>
      <c r="H8">
        <v>0</v>
      </c>
      <c r="I8">
        <v>0</v>
      </c>
      <c r="J8">
        <v>0.93700000000000006</v>
      </c>
      <c r="K8">
        <v>3.0000000000000001E-3</v>
      </c>
      <c r="L8">
        <v>8.9999999999999993E-3</v>
      </c>
      <c r="M8">
        <v>0.73399999999999999</v>
      </c>
      <c r="N8">
        <v>0.122</v>
      </c>
      <c r="O8">
        <v>3.2000000000000001E-2</v>
      </c>
      <c r="P8">
        <v>0</v>
      </c>
      <c r="Q8">
        <v>7.0000000000000001E-3</v>
      </c>
      <c r="R8">
        <v>0</v>
      </c>
      <c r="S8">
        <v>0</v>
      </c>
      <c r="T8">
        <v>0.11</v>
      </c>
      <c r="U8">
        <v>0</v>
      </c>
      <c r="V8">
        <v>7.6999999999999999E-2</v>
      </c>
      <c r="W8">
        <v>0.13200000000000001</v>
      </c>
      <c r="X8">
        <v>8.0000000000000002E-3</v>
      </c>
      <c r="Y8">
        <v>0</v>
      </c>
      <c r="Z8">
        <v>0.14299999999999999</v>
      </c>
      <c r="AA8">
        <v>0.10199999999999999</v>
      </c>
      <c r="AB8">
        <v>0</v>
      </c>
    </row>
    <row r="9" spans="1:28" x14ac:dyDescent="0.25">
      <c r="A9" t="s">
        <v>196</v>
      </c>
      <c r="B9">
        <v>24.315000000000001</v>
      </c>
      <c r="C9">
        <v>0.92200000000000004</v>
      </c>
      <c r="D9">
        <v>4.4999999999999998E-2</v>
      </c>
      <c r="E9">
        <v>6.9000000000000006E-2</v>
      </c>
      <c r="F9">
        <v>0</v>
      </c>
      <c r="G9">
        <v>0.01</v>
      </c>
      <c r="H9">
        <v>0</v>
      </c>
      <c r="I9">
        <v>0</v>
      </c>
      <c r="J9">
        <v>0.68100000000000005</v>
      </c>
      <c r="K9">
        <v>2.4E-2</v>
      </c>
      <c r="L9">
        <v>5.7000000000000002E-2</v>
      </c>
      <c r="M9">
        <v>1.141</v>
      </c>
      <c r="N9">
        <v>9.2999999999999999E-2</v>
      </c>
      <c r="O9">
        <v>8.1000000000000003E-2</v>
      </c>
      <c r="P9">
        <v>0</v>
      </c>
      <c r="Q9">
        <v>0</v>
      </c>
      <c r="R9">
        <v>0</v>
      </c>
      <c r="S9">
        <v>0</v>
      </c>
      <c r="T9">
        <v>0</v>
      </c>
      <c r="U9">
        <v>8.0000000000000002E-3</v>
      </c>
      <c r="V9">
        <v>4.2809999999999997</v>
      </c>
      <c r="W9">
        <v>1.992</v>
      </c>
      <c r="X9">
        <v>7.4999999999999997E-2</v>
      </c>
      <c r="Y9">
        <v>0.80700000000000005</v>
      </c>
      <c r="Z9">
        <v>2.0470000000000002</v>
      </c>
      <c r="AA9">
        <v>26.206</v>
      </c>
      <c r="AB9">
        <v>0.72699999999999998</v>
      </c>
    </row>
    <row r="10" spans="1:28" x14ac:dyDescent="0.25">
      <c r="A10" t="s">
        <v>8</v>
      </c>
      <c r="B10">
        <v>7.0590000000000002</v>
      </c>
      <c r="C10">
        <v>7.0999999999999994E-2</v>
      </c>
      <c r="D10">
        <v>3.6999999999999998E-2</v>
      </c>
      <c r="E10">
        <v>8.1000000000000003E-2</v>
      </c>
      <c r="F10">
        <v>0</v>
      </c>
      <c r="G10">
        <v>2E-3</v>
      </c>
      <c r="H10">
        <v>0</v>
      </c>
      <c r="I10">
        <v>0</v>
      </c>
      <c r="J10">
        <v>0</v>
      </c>
      <c r="K10">
        <v>0</v>
      </c>
      <c r="L10">
        <v>2E-3</v>
      </c>
      <c r="M10">
        <v>0.14599999999999999</v>
      </c>
      <c r="N10">
        <v>1.0999999999999999E-2</v>
      </c>
      <c r="O10">
        <v>0.02</v>
      </c>
      <c r="P10">
        <v>0</v>
      </c>
      <c r="Q10">
        <v>0</v>
      </c>
      <c r="R10">
        <v>0</v>
      </c>
      <c r="S10">
        <v>0</v>
      </c>
      <c r="T10">
        <v>0</v>
      </c>
      <c r="U10">
        <v>1E-3</v>
      </c>
      <c r="V10">
        <v>1.1279999999999999</v>
      </c>
      <c r="W10">
        <v>0.107</v>
      </c>
      <c r="X10">
        <v>4.0000000000000001E-3</v>
      </c>
      <c r="Y10">
        <v>0</v>
      </c>
      <c r="Z10">
        <v>0.56899999999999995</v>
      </c>
      <c r="AA10">
        <v>36.959000000000003</v>
      </c>
      <c r="AB10">
        <v>0</v>
      </c>
    </row>
    <row r="11" spans="1:28" x14ac:dyDescent="0.25">
      <c r="A11" t="s">
        <v>9</v>
      </c>
      <c r="B11">
        <v>54.722999999999999</v>
      </c>
      <c r="C11">
        <v>2.327</v>
      </c>
      <c r="D11">
        <v>0.46400000000000002</v>
      </c>
      <c r="E11">
        <v>0.67700000000000005</v>
      </c>
      <c r="F11">
        <v>0</v>
      </c>
      <c r="G11">
        <v>2.9000000000000001E-2</v>
      </c>
      <c r="H11">
        <v>0</v>
      </c>
      <c r="I11">
        <v>1.2999999999999999E-2</v>
      </c>
      <c r="J11">
        <v>2.3889999999999998</v>
      </c>
      <c r="K11">
        <v>8.3000000000000004E-2</v>
      </c>
      <c r="L11">
        <v>0.26200000000000001</v>
      </c>
      <c r="M11">
        <v>3.8149999999999999</v>
      </c>
      <c r="N11">
        <v>0.40899999999999997</v>
      </c>
      <c r="O11">
        <v>0.33400000000000002</v>
      </c>
      <c r="P11">
        <v>0</v>
      </c>
      <c r="Q11">
        <v>2E-3</v>
      </c>
      <c r="R11">
        <v>0</v>
      </c>
      <c r="S11">
        <v>0</v>
      </c>
      <c r="T11">
        <v>0.29199999999999998</v>
      </c>
      <c r="U11">
        <v>6.0000000000000001E-3</v>
      </c>
      <c r="V11">
        <v>7.5030000000000001</v>
      </c>
      <c r="W11">
        <v>5.673</v>
      </c>
      <c r="X11">
        <v>0.47799999999999998</v>
      </c>
      <c r="Y11">
        <v>5.3150000000000004</v>
      </c>
      <c r="Z11">
        <v>6.5949999999999998</v>
      </c>
      <c r="AA11">
        <v>22.225000000000001</v>
      </c>
      <c r="AB11">
        <v>0.1</v>
      </c>
    </row>
    <row r="12" spans="1:28" x14ac:dyDescent="0.25">
      <c r="A12" t="s">
        <v>197</v>
      </c>
      <c r="B12">
        <v>1.1339999999999999</v>
      </c>
      <c r="C12">
        <v>0.09</v>
      </c>
      <c r="D12">
        <v>5.5E-2</v>
      </c>
      <c r="E12">
        <v>1.7000000000000001E-2</v>
      </c>
      <c r="F12">
        <v>0</v>
      </c>
      <c r="G12">
        <v>0</v>
      </c>
      <c r="H12">
        <v>0</v>
      </c>
      <c r="I12">
        <v>0</v>
      </c>
      <c r="J12">
        <v>2.7E-2</v>
      </c>
      <c r="K12">
        <v>2.1000000000000001E-2</v>
      </c>
      <c r="L12">
        <v>8.9999999999999993E-3</v>
      </c>
      <c r="M12">
        <v>0.64500000000000002</v>
      </c>
      <c r="N12">
        <v>0.129</v>
      </c>
      <c r="O12">
        <v>2.5999999999999999E-2</v>
      </c>
      <c r="P12">
        <v>0</v>
      </c>
      <c r="Q12">
        <v>0</v>
      </c>
      <c r="R12">
        <v>0</v>
      </c>
      <c r="S12">
        <v>0</v>
      </c>
      <c r="T12">
        <v>0.01</v>
      </c>
      <c r="U12">
        <v>2E-3</v>
      </c>
      <c r="V12">
        <v>3.4000000000000002E-2</v>
      </c>
      <c r="W12">
        <v>0.13600000000000001</v>
      </c>
      <c r="X12">
        <v>6.0000000000000001E-3</v>
      </c>
      <c r="Y12">
        <v>0</v>
      </c>
      <c r="Z12">
        <v>0.63700000000000001</v>
      </c>
      <c r="AA12">
        <v>0.11600000000000001</v>
      </c>
      <c r="AB12">
        <v>2.4E-2</v>
      </c>
    </row>
    <row r="13" spans="1:28" x14ac:dyDescent="0.25">
      <c r="A13" t="s">
        <v>10</v>
      </c>
      <c r="B13">
        <v>33.847000000000001</v>
      </c>
      <c r="C13">
        <v>1.738</v>
      </c>
      <c r="D13">
        <v>0.29399999999999998</v>
      </c>
      <c r="E13">
        <v>0.42699999999999999</v>
      </c>
      <c r="F13">
        <v>0</v>
      </c>
      <c r="G13">
        <v>2.9000000000000001E-2</v>
      </c>
      <c r="H13">
        <v>0</v>
      </c>
      <c r="I13">
        <v>0</v>
      </c>
      <c r="J13">
        <v>1.093</v>
      </c>
      <c r="K13">
        <v>6.3E-2</v>
      </c>
      <c r="L13">
        <v>0.17</v>
      </c>
      <c r="M13">
        <v>1.7430000000000001</v>
      </c>
      <c r="N13">
        <v>0.434</v>
      </c>
      <c r="O13">
        <v>0.157</v>
      </c>
      <c r="P13">
        <v>0</v>
      </c>
      <c r="Q13">
        <v>0</v>
      </c>
      <c r="R13">
        <v>0</v>
      </c>
      <c r="S13">
        <v>0</v>
      </c>
      <c r="T13">
        <v>4.2000000000000003E-2</v>
      </c>
      <c r="U13">
        <v>2E-3</v>
      </c>
      <c r="V13">
        <v>3.9529999999999998</v>
      </c>
      <c r="W13">
        <v>3.9119999999999999</v>
      </c>
      <c r="X13">
        <v>2.4E-2</v>
      </c>
      <c r="Y13">
        <v>3.9449999999999998</v>
      </c>
      <c r="Z13">
        <v>4.742</v>
      </c>
      <c r="AA13">
        <v>29.427</v>
      </c>
      <c r="AB13">
        <v>0.67700000000000005</v>
      </c>
    </row>
    <row r="14" spans="1:28" x14ac:dyDescent="0.25">
      <c r="A14" t="s">
        <v>198</v>
      </c>
      <c r="B14">
        <v>2.9449999999999998</v>
      </c>
      <c r="C14">
        <v>6.3E-2</v>
      </c>
      <c r="D14">
        <v>0.03</v>
      </c>
      <c r="E14">
        <v>5.0000000000000001E-3</v>
      </c>
      <c r="F14">
        <v>0</v>
      </c>
      <c r="G14">
        <v>2E-3</v>
      </c>
      <c r="H14">
        <v>0</v>
      </c>
      <c r="I14">
        <v>0</v>
      </c>
      <c r="J14">
        <v>3.5000000000000003E-2</v>
      </c>
      <c r="K14">
        <v>5.0000000000000001E-3</v>
      </c>
      <c r="L14">
        <v>1E-3</v>
      </c>
      <c r="M14">
        <v>0.14299999999999999</v>
      </c>
      <c r="N14">
        <v>5.1999999999999998E-2</v>
      </c>
      <c r="O14">
        <v>8.0000000000000002E-3</v>
      </c>
      <c r="P14">
        <v>0</v>
      </c>
      <c r="Q14">
        <v>0</v>
      </c>
      <c r="R14">
        <v>0</v>
      </c>
      <c r="S14">
        <v>0</v>
      </c>
      <c r="T14">
        <v>1E-3</v>
      </c>
      <c r="U14">
        <v>0</v>
      </c>
      <c r="V14">
        <v>0.17399999999999999</v>
      </c>
      <c r="W14">
        <v>0.23699999999999999</v>
      </c>
      <c r="X14">
        <v>0.19</v>
      </c>
      <c r="Y14">
        <v>1.1419999999999999</v>
      </c>
      <c r="Z14">
        <v>0.23400000000000001</v>
      </c>
      <c r="AA14">
        <v>8.4000000000000005E-2</v>
      </c>
      <c r="AB14">
        <v>6.2E-2</v>
      </c>
    </row>
    <row r="15" spans="1:28" x14ac:dyDescent="0.25">
      <c r="A15" t="s">
        <v>50</v>
      </c>
      <c r="B15">
        <v>5.4770000000000003</v>
      </c>
      <c r="C15">
        <v>0.28199999999999997</v>
      </c>
      <c r="D15">
        <v>4.1000000000000002E-2</v>
      </c>
      <c r="E15">
        <v>2.5000000000000001E-2</v>
      </c>
      <c r="F15">
        <v>0</v>
      </c>
      <c r="G15">
        <v>0</v>
      </c>
      <c r="H15">
        <v>0</v>
      </c>
      <c r="I15">
        <v>0</v>
      </c>
      <c r="J15">
        <v>0.20200000000000001</v>
      </c>
      <c r="K15">
        <v>4.0000000000000001E-3</v>
      </c>
      <c r="L15">
        <v>2.8000000000000001E-2</v>
      </c>
      <c r="M15">
        <v>0.378</v>
      </c>
      <c r="N15">
        <v>6.9000000000000006E-2</v>
      </c>
      <c r="O15">
        <v>2.9000000000000001E-2</v>
      </c>
      <c r="P15">
        <v>0</v>
      </c>
      <c r="Q15">
        <v>0</v>
      </c>
      <c r="R15">
        <v>0</v>
      </c>
      <c r="S15">
        <v>0</v>
      </c>
      <c r="T15">
        <v>1E-3</v>
      </c>
      <c r="U15">
        <v>0</v>
      </c>
      <c r="V15">
        <v>0.317</v>
      </c>
      <c r="W15">
        <v>0.64500000000000002</v>
      </c>
      <c r="X15">
        <v>1.2999999999999999E-2</v>
      </c>
      <c r="Y15">
        <v>3.5999999999999997E-2</v>
      </c>
      <c r="Z15">
        <v>0.85599999999999998</v>
      </c>
      <c r="AA15">
        <v>0.24299999999999999</v>
      </c>
      <c r="AB15">
        <v>0.67700000000000005</v>
      </c>
    </row>
    <row r="16" spans="1:28" x14ac:dyDescent="0.25">
      <c r="A16" t="s">
        <v>199</v>
      </c>
      <c r="B16">
        <v>24.346</v>
      </c>
      <c r="C16">
        <v>2.16</v>
      </c>
      <c r="D16">
        <v>0.16700000000000001</v>
      </c>
      <c r="E16">
        <v>9.8000000000000004E-2</v>
      </c>
      <c r="F16">
        <v>0</v>
      </c>
      <c r="G16">
        <v>6.0000000000000001E-3</v>
      </c>
      <c r="H16">
        <v>0</v>
      </c>
      <c r="I16">
        <v>6.0000000000000001E-3</v>
      </c>
      <c r="J16">
        <v>0</v>
      </c>
      <c r="K16">
        <v>5.1999999999999998E-2</v>
      </c>
      <c r="L16">
        <v>7.4999999999999997E-2</v>
      </c>
      <c r="M16">
        <v>1.2889999999999999</v>
      </c>
      <c r="N16">
        <v>0.253</v>
      </c>
      <c r="O16">
        <v>7.9000000000000001E-2</v>
      </c>
      <c r="P16">
        <v>0</v>
      </c>
      <c r="Q16">
        <v>0</v>
      </c>
      <c r="R16">
        <v>0</v>
      </c>
      <c r="S16">
        <v>0</v>
      </c>
      <c r="T16">
        <v>0</v>
      </c>
      <c r="U16">
        <v>7.0000000000000001E-3</v>
      </c>
      <c r="V16">
        <v>1.871</v>
      </c>
      <c r="W16">
        <v>3.55</v>
      </c>
      <c r="X16">
        <v>0.16400000000000001</v>
      </c>
      <c r="Y16">
        <v>1.71</v>
      </c>
      <c r="Z16">
        <v>2.149</v>
      </c>
      <c r="AA16">
        <v>1.2609999999999999</v>
      </c>
      <c r="AB16">
        <v>0.51100000000000001</v>
      </c>
    </row>
    <row r="17" spans="1:28" x14ac:dyDescent="0.25">
      <c r="A17" t="s">
        <v>200</v>
      </c>
      <c r="B17">
        <v>47.406999999999996</v>
      </c>
      <c r="C17">
        <v>2.1080000000000001</v>
      </c>
      <c r="D17">
        <v>0.71499999999999997</v>
      </c>
      <c r="E17">
        <v>0.45700000000000002</v>
      </c>
      <c r="F17">
        <v>0</v>
      </c>
      <c r="G17">
        <v>0.123</v>
      </c>
      <c r="H17">
        <v>0</v>
      </c>
      <c r="I17">
        <v>5.0000000000000001E-3</v>
      </c>
      <c r="J17">
        <v>3.5999999999999997E-2</v>
      </c>
      <c r="K17">
        <v>0.32800000000000001</v>
      </c>
      <c r="L17">
        <v>0.16400000000000001</v>
      </c>
      <c r="M17">
        <v>2.0310000000000001</v>
      </c>
      <c r="N17">
        <v>0.26100000000000001</v>
      </c>
      <c r="O17">
        <v>0.23899999999999999</v>
      </c>
      <c r="P17">
        <v>0</v>
      </c>
      <c r="Q17">
        <v>0</v>
      </c>
      <c r="R17">
        <v>0</v>
      </c>
      <c r="S17">
        <v>0</v>
      </c>
      <c r="T17">
        <v>7.0000000000000001E-3</v>
      </c>
      <c r="U17">
        <v>6.0000000000000001E-3</v>
      </c>
      <c r="V17">
        <v>3.9460000000000002</v>
      </c>
      <c r="W17">
        <v>3.6459999999999999</v>
      </c>
      <c r="X17">
        <v>1.254</v>
      </c>
      <c r="Y17">
        <v>2.867</v>
      </c>
      <c r="Z17">
        <v>4.1870000000000003</v>
      </c>
      <c r="AA17">
        <v>80.718000000000004</v>
      </c>
      <c r="AB17">
        <v>0.05</v>
      </c>
    </row>
    <row r="18" spans="1:28" x14ac:dyDescent="0.25">
      <c r="A18" t="s">
        <v>201</v>
      </c>
      <c r="B18">
        <v>9.2430000000000003</v>
      </c>
      <c r="C18">
        <v>0.94</v>
      </c>
      <c r="D18">
        <v>0.20499999999999999</v>
      </c>
      <c r="E18">
        <v>0.24199999999999999</v>
      </c>
      <c r="F18">
        <v>0</v>
      </c>
      <c r="G18">
        <v>8.1000000000000003E-2</v>
      </c>
      <c r="H18">
        <v>5.0000000000000001E-3</v>
      </c>
      <c r="I18">
        <v>1E-3</v>
      </c>
      <c r="J18">
        <v>0</v>
      </c>
      <c r="K18">
        <v>4.2999999999999997E-2</v>
      </c>
      <c r="L18">
        <v>9.9000000000000005E-2</v>
      </c>
      <c r="M18">
        <v>0.70899999999999996</v>
      </c>
      <c r="N18">
        <v>3.7999999999999999E-2</v>
      </c>
      <c r="O18">
        <v>0.154</v>
      </c>
      <c r="P18">
        <v>0</v>
      </c>
      <c r="Q18">
        <v>0</v>
      </c>
      <c r="R18">
        <v>0</v>
      </c>
      <c r="S18">
        <v>0</v>
      </c>
      <c r="T18">
        <v>0</v>
      </c>
      <c r="U18">
        <v>1.2E-2</v>
      </c>
      <c r="V18">
        <v>0.52800000000000002</v>
      </c>
      <c r="W18">
        <v>1.3979999999999999</v>
      </c>
      <c r="X18">
        <v>7.0000000000000001E-3</v>
      </c>
      <c r="Y18">
        <v>3.3540000000000001</v>
      </c>
      <c r="Z18">
        <v>1.482</v>
      </c>
      <c r="AA18">
        <v>50.655000000000001</v>
      </c>
      <c r="AB18">
        <v>4.3639999999999999</v>
      </c>
    </row>
    <row r="19" spans="1:28" x14ac:dyDescent="0.25">
      <c r="A19" t="s">
        <v>202</v>
      </c>
      <c r="B19">
        <v>18.158000000000001</v>
      </c>
      <c r="C19">
        <v>1.2270000000000001</v>
      </c>
      <c r="D19">
        <v>0.28399999999999997</v>
      </c>
      <c r="E19">
        <v>0.20200000000000001</v>
      </c>
      <c r="F19">
        <v>0</v>
      </c>
      <c r="G19">
        <v>7.0000000000000001E-3</v>
      </c>
      <c r="H19">
        <v>0</v>
      </c>
      <c r="I19">
        <v>1.4E-2</v>
      </c>
      <c r="J19">
        <v>0</v>
      </c>
      <c r="K19">
        <v>6.0999999999999999E-2</v>
      </c>
      <c r="L19">
        <v>5.0999999999999997E-2</v>
      </c>
      <c r="M19">
        <v>0.88200000000000001</v>
      </c>
      <c r="N19">
        <v>0.22500000000000001</v>
      </c>
      <c r="O19">
        <v>5.7000000000000002E-2</v>
      </c>
      <c r="P19">
        <v>0</v>
      </c>
      <c r="Q19">
        <v>0</v>
      </c>
      <c r="R19">
        <v>0</v>
      </c>
      <c r="S19">
        <v>0</v>
      </c>
      <c r="T19">
        <v>0</v>
      </c>
      <c r="U19">
        <v>2E-3</v>
      </c>
      <c r="V19">
        <v>1.026</v>
      </c>
      <c r="W19">
        <v>1.982</v>
      </c>
      <c r="X19">
        <v>0.06</v>
      </c>
      <c r="Y19">
        <v>1.2869999999999999</v>
      </c>
      <c r="Z19">
        <v>1.754</v>
      </c>
      <c r="AA19">
        <v>1.117</v>
      </c>
      <c r="AB19">
        <v>0.23699999999999999</v>
      </c>
    </row>
    <row r="20" spans="1:28" x14ac:dyDescent="0.25">
      <c r="A20" t="s">
        <v>51</v>
      </c>
      <c r="B20">
        <v>1.109</v>
      </c>
      <c r="C20">
        <v>0.51800000000000002</v>
      </c>
      <c r="D20">
        <v>0.47799999999999998</v>
      </c>
      <c r="E20">
        <v>0.29199999999999998</v>
      </c>
      <c r="F20">
        <v>0</v>
      </c>
      <c r="G20">
        <v>1E-3</v>
      </c>
      <c r="H20">
        <v>0</v>
      </c>
      <c r="I20">
        <v>0</v>
      </c>
      <c r="J20">
        <v>0</v>
      </c>
      <c r="K20">
        <v>3.0000000000000001E-3</v>
      </c>
      <c r="L20">
        <v>2.8000000000000001E-2</v>
      </c>
      <c r="M20">
        <v>0.09</v>
      </c>
      <c r="N20">
        <v>1.7000000000000001E-2</v>
      </c>
      <c r="O20">
        <v>1.9E-2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0.36599999999999999</v>
      </c>
      <c r="W20">
        <v>0.47</v>
      </c>
      <c r="X20">
        <v>0</v>
      </c>
      <c r="Y20">
        <v>0</v>
      </c>
      <c r="Z20">
        <v>0.78500000000000003</v>
      </c>
      <c r="AA20">
        <v>2.5000000000000001E-2</v>
      </c>
      <c r="AB20">
        <v>0</v>
      </c>
    </row>
    <row r="21" spans="1:28" x14ac:dyDescent="0.25">
      <c r="A21" t="s">
        <v>203</v>
      </c>
      <c r="B21">
        <v>26.526</v>
      </c>
      <c r="C21">
        <v>8.5039999999999996</v>
      </c>
      <c r="D21">
        <v>2.2050000000000001</v>
      </c>
      <c r="E21">
        <v>1.1970000000000001</v>
      </c>
      <c r="F21">
        <v>0</v>
      </c>
      <c r="G21">
        <v>8.8999999999999996E-2</v>
      </c>
      <c r="H21">
        <v>0</v>
      </c>
      <c r="I21">
        <v>0.03</v>
      </c>
      <c r="J21">
        <v>0</v>
      </c>
      <c r="K21">
        <v>0.03</v>
      </c>
      <c r="L21">
        <v>0.309</v>
      </c>
      <c r="M21">
        <v>2.8759999999999999</v>
      </c>
      <c r="N21">
        <v>0.23799999999999999</v>
      </c>
      <c r="O21">
        <v>0.27100000000000002</v>
      </c>
      <c r="P21">
        <v>0</v>
      </c>
      <c r="Q21">
        <v>8.0000000000000002E-3</v>
      </c>
      <c r="R21">
        <v>0</v>
      </c>
      <c r="S21">
        <v>1E-3</v>
      </c>
      <c r="T21">
        <v>0</v>
      </c>
      <c r="U21">
        <v>2E-3</v>
      </c>
      <c r="V21">
        <v>6.4459999999999997</v>
      </c>
      <c r="W21">
        <v>4.8630000000000004</v>
      </c>
      <c r="X21">
        <v>0.23599999999999999</v>
      </c>
      <c r="Y21">
        <v>3.4969999999999999</v>
      </c>
      <c r="Z21">
        <v>4.4980000000000002</v>
      </c>
      <c r="AA21">
        <v>1.23</v>
      </c>
      <c r="AB21">
        <v>4.9000000000000002E-2</v>
      </c>
    </row>
    <row r="22" spans="1:28" x14ac:dyDescent="0.25">
      <c r="A22" t="s">
        <v>204</v>
      </c>
      <c r="B22">
        <v>55.322000000000003</v>
      </c>
      <c r="C22">
        <v>17.634</v>
      </c>
      <c r="D22">
        <v>6.7409999999999997</v>
      </c>
      <c r="E22">
        <v>3.4969999999999999</v>
      </c>
      <c r="F22">
        <v>0</v>
      </c>
      <c r="G22">
        <v>0.192</v>
      </c>
      <c r="H22">
        <v>0</v>
      </c>
      <c r="I22">
        <v>0.02</v>
      </c>
      <c r="J22">
        <v>0</v>
      </c>
      <c r="K22">
        <v>0.10199999999999999</v>
      </c>
      <c r="L22">
        <v>0.86</v>
      </c>
      <c r="M22">
        <v>6.5060000000000002</v>
      </c>
      <c r="N22">
        <v>0.84799999999999998</v>
      </c>
      <c r="O22">
        <v>0.76600000000000001</v>
      </c>
      <c r="P22">
        <v>0</v>
      </c>
      <c r="Q22">
        <v>1.6E-2</v>
      </c>
      <c r="R22">
        <v>0</v>
      </c>
      <c r="S22">
        <v>7.0000000000000001E-3</v>
      </c>
      <c r="T22">
        <v>0</v>
      </c>
      <c r="U22">
        <v>0.01</v>
      </c>
      <c r="V22">
        <v>15.433999999999999</v>
      </c>
      <c r="W22">
        <v>11.94</v>
      </c>
      <c r="X22">
        <v>0.115</v>
      </c>
      <c r="Y22">
        <v>0.29399999999999998</v>
      </c>
      <c r="Z22">
        <v>8.1530000000000005</v>
      </c>
      <c r="AA22">
        <v>52.996000000000002</v>
      </c>
      <c r="AB22">
        <v>9.5</v>
      </c>
    </row>
    <row r="23" spans="1:28" x14ac:dyDescent="0.25">
      <c r="A23" t="s">
        <v>205</v>
      </c>
      <c r="B23">
        <v>28.84</v>
      </c>
      <c r="C23">
        <v>2.762</v>
      </c>
      <c r="D23">
        <v>0.76800000000000002</v>
      </c>
      <c r="E23">
        <v>0.98799999999999999</v>
      </c>
      <c r="F23">
        <v>0</v>
      </c>
      <c r="G23">
        <v>1.0780000000000001</v>
      </c>
      <c r="H23">
        <v>3.4000000000000002E-2</v>
      </c>
      <c r="I23">
        <v>2.4E-2</v>
      </c>
      <c r="J23">
        <v>0</v>
      </c>
      <c r="K23">
        <v>9.6000000000000002E-2</v>
      </c>
      <c r="L23">
        <v>0.27500000000000002</v>
      </c>
      <c r="M23">
        <v>2.3079999999999998</v>
      </c>
      <c r="N23">
        <v>0.39800000000000002</v>
      </c>
      <c r="O23">
        <v>0.64400000000000002</v>
      </c>
      <c r="P23">
        <v>0</v>
      </c>
      <c r="Q23">
        <v>0.18099999999999999</v>
      </c>
      <c r="R23">
        <v>1E-3</v>
      </c>
      <c r="S23">
        <v>0</v>
      </c>
      <c r="T23">
        <v>0</v>
      </c>
      <c r="U23">
        <v>8.0000000000000002E-3</v>
      </c>
      <c r="V23">
        <v>2.3119999999999998</v>
      </c>
      <c r="W23">
        <v>2.0249999999999999</v>
      </c>
      <c r="X23">
        <v>0.26700000000000002</v>
      </c>
      <c r="Y23">
        <v>1.19</v>
      </c>
      <c r="Z23">
        <v>2.56</v>
      </c>
      <c r="AA23">
        <v>0.63</v>
      </c>
      <c r="AB23">
        <v>0.05</v>
      </c>
    </row>
    <row r="24" spans="1:28" x14ac:dyDescent="0.25">
      <c r="A24" t="s">
        <v>206</v>
      </c>
      <c r="B24">
        <v>6.6710000000000003</v>
      </c>
      <c r="C24">
        <v>0.98399999999999999</v>
      </c>
      <c r="D24">
        <v>0.14099999999999999</v>
      </c>
      <c r="E24">
        <v>7.4999999999999997E-2</v>
      </c>
      <c r="F24">
        <v>0</v>
      </c>
      <c r="G24">
        <v>0</v>
      </c>
      <c r="H24">
        <v>0</v>
      </c>
      <c r="I24">
        <v>1E-3</v>
      </c>
      <c r="J24">
        <v>0</v>
      </c>
      <c r="K24">
        <v>6.0000000000000001E-3</v>
      </c>
      <c r="L24">
        <v>3.5999999999999997E-2</v>
      </c>
      <c r="M24">
        <v>0.224</v>
      </c>
      <c r="N24">
        <v>4.3999999999999997E-2</v>
      </c>
      <c r="O24">
        <v>2.7E-2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0.98399999999999999</v>
      </c>
      <c r="W24">
        <v>0.76100000000000001</v>
      </c>
      <c r="X24">
        <v>0.16</v>
      </c>
      <c r="Y24">
        <v>4.4359999999999999</v>
      </c>
      <c r="Z24">
        <v>0.222</v>
      </c>
      <c r="AA24">
        <v>0.11600000000000001</v>
      </c>
      <c r="AB24">
        <v>0</v>
      </c>
    </row>
    <row r="25" spans="1:28" x14ac:dyDescent="0.25">
      <c r="A25" t="s">
        <v>207</v>
      </c>
      <c r="B25">
        <v>9.0419999999999998</v>
      </c>
      <c r="C25">
        <v>0.27800000000000002</v>
      </c>
      <c r="D25">
        <v>6.5000000000000002E-2</v>
      </c>
      <c r="E25">
        <v>0.112</v>
      </c>
      <c r="F25">
        <v>0</v>
      </c>
      <c r="G25">
        <v>3.0000000000000001E-3</v>
      </c>
      <c r="H25">
        <v>0</v>
      </c>
      <c r="I25">
        <v>1.4999999999999999E-2</v>
      </c>
      <c r="J25">
        <v>0</v>
      </c>
      <c r="K25">
        <v>5.0000000000000001E-3</v>
      </c>
      <c r="L25">
        <v>1.4E-2</v>
      </c>
      <c r="M25">
        <v>0.19500000000000001</v>
      </c>
      <c r="N25">
        <v>5.0999999999999997E-2</v>
      </c>
      <c r="O25">
        <v>2.4E-2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0.40200000000000002</v>
      </c>
      <c r="W25">
        <v>0.65</v>
      </c>
      <c r="X25">
        <v>0</v>
      </c>
      <c r="Y25">
        <v>0</v>
      </c>
      <c r="Z25">
        <v>1.3280000000000001</v>
      </c>
      <c r="AA25">
        <v>32.043999999999997</v>
      </c>
      <c r="AB25">
        <v>0</v>
      </c>
    </row>
    <row r="26" spans="1:28" x14ac:dyDescent="0.25">
      <c r="A26" t="s">
        <v>208</v>
      </c>
      <c r="B26">
        <v>20.9</v>
      </c>
      <c r="C26">
        <v>1.798</v>
      </c>
      <c r="D26">
        <v>0.53400000000000003</v>
      </c>
      <c r="E26">
        <v>0.68500000000000005</v>
      </c>
      <c r="F26">
        <v>0</v>
      </c>
      <c r="G26">
        <v>1.4999999999999999E-2</v>
      </c>
      <c r="H26">
        <v>2E-3</v>
      </c>
      <c r="I26">
        <v>6.0000000000000001E-3</v>
      </c>
      <c r="J26">
        <v>0</v>
      </c>
      <c r="K26">
        <v>2.7E-2</v>
      </c>
      <c r="L26">
        <v>0.161</v>
      </c>
      <c r="M26">
        <v>1.3149999999999999</v>
      </c>
      <c r="N26">
        <v>0.224</v>
      </c>
      <c r="O26">
        <v>0.26</v>
      </c>
      <c r="P26">
        <v>0</v>
      </c>
      <c r="Q26">
        <v>0</v>
      </c>
      <c r="R26">
        <v>0</v>
      </c>
      <c r="S26">
        <v>0</v>
      </c>
      <c r="T26">
        <v>0</v>
      </c>
      <c r="U26">
        <v>2E-3</v>
      </c>
      <c r="V26">
        <v>1.7949999999999999</v>
      </c>
      <c r="W26">
        <v>1.5669999999999999</v>
      </c>
      <c r="X26">
        <v>0.4</v>
      </c>
      <c r="Y26">
        <v>3.407</v>
      </c>
      <c r="Z26">
        <v>3.0329999999999999</v>
      </c>
      <c r="AA26">
        <v>1.0049999999999999</v>
      </c>
      <c r="AB26">
        <v>6.8090000000000002</v>
      </c>
    </row>
    <row r="27" spans="1:28" x14ac:dyDescent="0.25">
      <c r="A27" t="s">
        <v>11</v>
      </c>
      <c r="B27">
        <v>10.785</v>
      </c>
      <c r="C27">
        <v>0.63100000000000001</v>
      </c>
      <c r="D27">
        <v>0.189</v>
      </c>
      <c r="E27">
        <v>0.127</v>
      </c>
      <c r="F27">
        <v>0</v>
      </c>
      <c r="G27">
        <v>1.4E-2</v>
      </c>
      <c r="H27">
        <v>0</v>
      </c>
      <c r="I27">
        <v>1E-3</v>
      </c>
      <c r="J27">
        <v>0</v>
      </c>
      <c r="K27">
        <v>2.1000000000000001E-2</v>
      </c>
      <c r="L27">
        <v>3.5999999999999997E-2</v>
      </c>
      <c r="M27">
        <v>0.497</v>
      </c>
      <c r="N27">
        <v>8.1000000000000003E-2</v>
      </c>
      <c r="O27">
        <v>5.2999999999999999E-2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1.1499999999999999</v>
      </c>
      <c r="W27">
        <v>0.64600000000000002</v>
      </c>
      <c r="X27">
        <v>1.0529999999999999</v>
      </c>
      <c r="Y27">
        <v>1.623</v>
      </c>
      <c r="Z27">
        <v>1.0609999999999999</v>
      </c>
      <c r="AA27">
        <v>38.304000000000002</v>
      </c>
      <c r="AB27">
        <v>478.06</v>
      </c>
    </row>
    <row r="28" spans="1:28" x14ac:dyDescent="0.25">
      <c r="A28" t="s">
        <v>209</v>
      </c>
      <c r="B28">
        <v>5.3090000000000002</v>
      </c>
      <c r="C28">
        <v>2.0390000000000001</v>
      </c>
      <c r="D28">
        <v>1.3939999999999999</v>
      </c>
      <c r="E28">
        <v>1.7130000000000001</v>
      </c>
      <c r="F28">
        <v>0</v>
      </c>
      <c r="G28">
        <v>4.5999999999999999E-2</v>
      </c>
      <c r="H28">
        <v>0</v>
      </c>
      <c r="I28">
        <v>2.5000000000000001E-2</v>
      </c>
      <c r="J28">
        <v>0</v>
      </c>
      <c r="K28">
        <v>2.4E-2</v>
      </c>
      <c r="L28">
        <v>0.219</v>
      </c>
      <c r="M28">
        <v>1.1240000000000001</v>
      </c>
      <c r="N28">
        <v>0.254</v>
      </c>
      <c r="O28">
        <v>0.31900000000000001</v>
      </c>
      <c r="P28">
        <v>0</v>
      </c>
      <c r="Q28">
        <v>3.0000000000000001E-3</v>
      </c>
      <c r="R28">
        <v>0</v>
      </c>
      <c r="S28">
        <v>0</v>
      </c>
      <c r="T28">
        <v>0</v>
      </c>
      <c r="U28">
        <v>4.0000000000000001E-3</v>
      </c>
      <c r="V28">
        <v>1.9550000000000001</v>
      </c>
      <c r="W28">
        <v>1.071</v>
      </c>
      <c r="X28">
        <v>8.9999999999999993E-3</v>
      </c>
      <c r="Y28">
        <v>2.4E-2</v>
      </c>
      <c r="Z28">
        <v>2.2829999999999999</v>
      </c>
      <c r="AA28">
        <v>75.135999999999996</v>
      </c>
      <c r="AB28">
        <v>0</v>
      </c>
    </row>
    <row r="29" spans="1:28" x14ac:dyDescent="0.25">
      <c r="A29" t="s">
        <v>210</v>
      </c>
      <c r="B29">
        <v>30.452000000000002</v>
      </c>
      <c r="C29">
        <v>5.556</v>
      </c>
      <c r="D29">
        <v>1.679</v>
      </c>
      <c r="E29">
        <v>0.70299999999999996</v>
      </c>
      <c r="F29">
        <v>0</v>
      </c>
      <c r="G29">
        <v>7.6999999999999999E-2</v>
      </c>
      <c r="H29">
        <v>0</v>
      </c>
      <c r="I29">
        <v>7.0000000000000001E-3</v>
      </c>
      <c r="J29">
        <v>0</v>
      </c>
      <c r="K29">
        <v>4.2000000000000003E-2</v>
      </c>
      <c r="L29">
        <v>0.183</v>
      </c>
      <c r="M29">
        <v>2.3439999999999999</v>
      </c>
      <c r="N29">
        <v>0.40600000000000003</v>
      </c>
      <c r="O29">
        <v>0.15</v>
      </c>
      <c r="P29">
        <v>0</v>
      </c>
      <c r="Q29">
        <v>1E-3</v>
      </c>
      <c r="R29">
        <v>0</v>
      </c>
      <c r="S29">
        <v>3.0000000000000001E-3</v>
      </c>
      <c r="T29">
        <v>0</v>
      </c>
      <c r="U29">
        <v>3.0000000000000001E-3</v>
      </c>
      <c r="V29">
        <v>7.1280000000000001</v>
      </c>
      <c r="W29">
        <v>4.2640000000000002</v>
      </c>
      <c r="X29">
        <v>0.67</v>
      </c>
      <c r="Y29">
        <v>2.4380000000000002</v>
      </c>
      <c r="Z29">
        <v>3.6629999999999998</v>
      </c>
      <c r="AA29">
        <v>0.96099999999999997</v>
      </c>
      <c r="AB29">
        <v>0</v>
      </c>
    </row>
    <row r="30" spans="1:28" x14ac:dyDescent="0.25">
      <c r="A30" t="s">
        <v>211</v>
      </c>
      <c r="B30">
        <v>44.228999999999999</v>
      </c>
      <c r="C30">
        <v>15.952</v>
      </c>
      <c r="D30">
        <v>4.899</v>
      </c>
      <c r="E30">
        <v>2.5819999999999999</v>
      </c>
      <c r="F30">
        <v>0</v>
      </c>
      <c r="G30">
        <v>0.16600000000000001</v>
      </c>
      <c r="H30">
        <v>0</v>
      </c>
      <c r="I30">
        <v>2.5999999999999999E-2</v>
      </c>
      <c r="J30">
        <v>0</v>
      </c>
      <c r="K30">
        <v>9.9000000000000005E-2</v>
      </c>
      <c r="L30">
        <v>0.625</v>
      </c>
      <c r="M30">
        <v>6.2460000000000004</v>
      </c>
      <c r="N30">
        <v>0.71899999999999997</v>
      </c>
      <c r="O30">
        <v>0.59599999999999997</v>
      </c>
      <c r="P30">
        <v>0</v>
      </c>
      <c r="Q30">
        <v>5.0000000000000001E-3</v>
      </c>
      <c r="R30">
        <v>0</v>
      </c>
      <c r="S30">
        <v>6.0000000000000001E-3</v>
      </c>
      <c r="T30">
        <v>0</v>
      </c>
      <c r="U30">
        <v>1.0999999999999999E-2</v>
      </c>
      <c r="V30">
        <v>12.577999999999999</v>
      </c>
      <c r="W30">
        <v>9.9529999999999994</v>
      </c>
      <c r="X30">
        <v>0.40100000000000002</v>
      </c>
      <c r="Y30">
        <v>2.9289999999999998</v>
      </c>
      <c r="Z30">
        <v>9.5549999999999997</v>
      </c>
      <c r="AA30">
        <v>123.654</v>
      </c>
      <c r="AB30">
        <v>14.621</v>
      </c>
    </row>
    <row r="31" spans="1:28" x14ac:dyDescent="0.25">
      <c r="A31" t="s">
        <v>212</v>
      </c>
      <c r="B31">
        <v>67.516999999999996</v>
      </c>
      <c r="C31">
        <v>4.2169999999999996</v>
      </c>
      <c r="D31">
        <v>1.367</v>
      </c>
      <c r="E31">
        <v>1.41</v>
      </c>
      <c r="F31">
        <v>0</v>
      </c>
      <c r="G31">
        <v>0.55800000000000005</v>
      </c>
      <c r="H31">
        <v>2.5999999999999999E-2</v>
      </c>
      <c r="I31">
        <v>2.9000000000000001E-2</v>
      </c>
      <c r="J31">
        <v>0</v>
      </c>
      <c r="K31">
        <v>0.627</v>
      </c>
      <c r="L31">
        <v>0.42099999999999999</v>
      </c>
      <c r="M31">
        <v>2.9550000000000001</v>
      </c>
      <c r="N31">
        <v>0.66100000000000003</v>
      </c>
      <c r="O31">
        <v>0.749</v>
      </c>
      <c r="P31">
        <v>0</v>
      </c>
      <c r="Q31">
        <v>0.01</v>
      </c>
      <c r="R31">
        <v>0</v>
      </c>
      <c r="S31">
        <v>5.0000000000000001E-3</v>
      </c>
      <c r="T31">
        <v>0</v>
      </c>
      <c r="U31">
        <v>4.0000000000000001E-3</v>
      </c>
      <c r="V31">
        <v>5.53</v>
      </c>
      <c r="W31">
        <v>2.9220000000000002</v>
      </c>
      <c r="X31">
        <v>0.78900000000000003</v>
      </c>
      <c r="Y31">
        <v>7.6630000000000003</v>
      </c>
      <c r="Z31">
        <v>6.6829999999999998</v>
      </c>
      <c r="AA31">
        <v>1.6459999999999999</v>
      </c>
      <c r="AB31">
        <v>4.0000000000000001E-3</v>
      </c>
    </row>
    <row r="32" spans="1:28" x14ac:dyDescent="0.25">
      <c r="A32" t="s">
        <v>213</v>
      </c>
      <c r="B32">
        <v>32.703000000000003</v>
      </c>
      <c r="C32">
        <v>1.2929999999999999</v>
      </c>
      <c r="D32">
        <v>0.36599999999999999</v>
      </c>
      <c r="E32">
        <v>0.18099999999999999</v>
      </c>
      <c r="F32">
        <v>0</v>
      </c>
      <c r="G32">
        <v>1E-3</v>
      </c>
      <c r="H32">
        <v>0</v>
      </c>
      <c r="I32">
        <v>5.3999999999999999E-2</v>
      </c>
      <c r="J32">
        <v>0</v>
      </c>
      <c r="K32">
        <v>8.9999999999999993E-3</v>
      </c>
      <c r="L32">
        <v>3.3000000000000002E-2</v>
      </c>
      <c r="M32">
        <v>0.72899999999999998</v>
      </c>
      <c r="N32">
        <v>0.14499999999999999</v>
      </c>
      <c r="O32">
        <v>2.3E-2</v>
      </c>
      <c r="P32">
        <v>0</v>
      </c>
      <c r="Q32">
        <v>1E-3</v>
      </c>
      <c r="R32">
        <v>1E-3</v>
      </c>
      <c r="S32">
        <v>1E-3</v>
      </c>
      <c r="T32">
        <v>0</v>
      </c>
      <c r="U32">
        <v>0</v>
      </c>
      <c r="V32">
        <v>1.8049999999999999</v>
      </c>
      <c r="W32">
        <v>2.214</v>
      </c>
      <c r="X32">
        <v>0.32500000000000001</v>
      </c>
      <c r="Y32">
        <v>7.7709999999999999</v>
      </c>
      <c r="Z32">
        <v>2.0920000000000001</v>
      </c>
      <c r="AA32">
        <v>19.088000000000001</v>
      </c>
      <c r="AB32">
        <v>6.0999999999999999E-2</v>
      </c>
    </row>
    <row r="33" spans="1:28" x14ac:dyDescent="0.25">
      <c r="A33" t="s">
        <v>214</v>
      </c>
      <c r="B33">
        <v>12.09</v>
      </c>
      <c r="C33">
        <v>1.6719999999999999</v>
      </c>
      <c r="D33">
        <v>0.77400000000000002</v>
      </c>
      <c r="E33">
        <v>0.38400000000000001</v>
      </c>
      <c r="F33">
        <v>0</v>
      </c>
      <c r="G33">
        <v>3.5999999999999997E-2</v>
      </c>
      <c r="H33">
        <v>0</v>
      </c>
      <c r="I33">
        <v>3.2000000000000001E-2</v>
      </c>
      <c r="J33">
        <v>0</v>
      </c>
      <c r="K33">
        <v>4.0000000000000001E-3</v>
      </c>
      <c r="L33">
        <v>7.3999999999999996E-2</v>
      </c>
      <c r="M33">
        <v>0.61699999999999999</v>
      </c>
      <c r="N33">
        <v>8.3000000000000004E-2</v>
      </c>
      <c r="O33">
        <v>7.5999999999999998E-2</v>
      </c>
      <c r="P33">
        <v>0</v>
      </c>
      <c r="Q33">
        <v>1E-3</v>
      </c>
      <c r="R33">
        <v>0</v>
      </c>
      <c r="S33">
        <v>1.6E-2</v>
      </c>
      <c r="T33">
        <v>0</v>
      </c>
      <c r="U33">
        <v>4.0000000000000001E-3</v>
      </c>
      <c r="V33">
        <v>2.407</v>
      </c>
      <c r="W33">
        <v>1.7989999999999999</v>
      </c>
      <c r="X33">
        <v>1.7649999999999999</v>
      </c>
      <c r="Y33">
        <v>13.863</v>
      </c>
      <c r="Z33">
        <v>1.0449999999999999</v>
      </c>
      <c r="AA33">
        <v>0.18099999999999999</v>
      </c>
      <c r="AB33">
        <v>0</v>
      </c>
    </row>
    <row r="34" spans="1:28" x14ac:dyDescent="0.25">
      <c r="A34" t="s">
        <v>12</v>
      </c>
      <c r="B34">
        <v>0.85199999999999998</v>
      </c>
      <c r="C34">
        <v>6.3E-2</v>
      </c>
      <c r="D34">
        <v>5.5E-2</v>
      </c>
      <c r="E34">
        <v>8.7999999999999995E-2</v>
      </c>
      <c r="F34">
        <v>0</v>
      </c>
      <c r="G34">
        <v>0</v>
      </c>
      <c r="H34">
        <v>0</v>
      </c>
      <c r="I34">
        <v>2E-3</v>
      </c>
      <c r="J34">
        <v>0</v>
      </c>
      <c r="K34">
        <v>2E-3</v>
      </c>
      <c r="L34">
        <v>4.0000000000000001E-3</v>
      </c>
      <c r="M34">
        <v>6.7000000000000004E-2</v>
      </c>
      <c r="N34">
        <v>2.4E-2</v>
      </c>
      <c r="O34">
        <v>1.0999999999999999E-2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0.157</v>
      </c>
      <c r="W34">
        <v>9.2999999999999999E-2</v>
      </c>
      <c r="X34">
        <v>0</v>
      </c>
      <c r="Y34">
        <v>0</v>
      </c>
      <c r="Z34">
        <v>0.155</v>
      </c>
      <c r="AA34">
        <v>5.7000000000000002E-2</v>
      </c>
      <c r="AB34">
        <v>0</v>
      </c>
    </row>
    <row r="35" spans="1:28" x14ac:dyDescent="0.25">
      <c r="A35" t="s">
        <v>215</v>
      </c>
      <c r="B35">
        <v>0.93600000000000005</v>
      </c>
      <c r="C35">
        <v>6.4000000000000001E-2</v>
      </c>
      <c r="D35">
        <v>0.03</v>
      </c>
      <c r="E35">
        <v>6.0000000000000001E-3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6.0000000000000001E-3</v>
      </c>
      <c r="M35">
        <v>5.7000000000000002E-2</v>
      </c>
      <c r="N35">
        <v>3.0000000000000001E-3</v>
      </c>
      <c r="O35">
        <v>2E-3</v>
      </c>
      <c r="P35">
        <v>0</v>
      </c>
      <c r="Q35">
        <v>0</v>
      </c>
      <c r="R35">
        <v>0</v>
      </c>
      <c r="S35">
        <v>1E-3</v>
      </c>
      <c r="T35">
        <v>0</v>
      </c>
      <c r="U35">
        <v>0</v>
      </c>
      <c r="V35">
        <v>5.7000000000000002E-2</v>
      </c>
      <c r="W35">
        <v>0.1</v>
      </c>
      <c r="X35">
        <v>0</v>
      </c>
      <c r="Y35">
        <v>1.2250000000000001</v>
      </c>
      <c r="Z35">
        <v>6.5000000000000002E-2</v>
      </c>
      <c r="AA35">
        <v>0.03</v>
      </c>
      <c r="AB35">
        <v>2E-3</v>
      </c>
    </row>
    <row r="36" spans="1:28" x14ac:dyDescent="0.25">
      <c r="A36" t="s">
        <v>216</v>
      </c>
      <c r="B36">
        <v>0.74399999999999999</v>
      </c>
      <c r="C36">
        <v>0.14299999999999999</v>
      </c>
      <c r="D36">
        <v>0.158</v>
      </c>
      <c r="E36">
        <v>0.16</v>
      </c>
      <c r="F36">
        <v>0</v>
      </c>
      <c r="G36">
        <v>0</v>
      </c>
      <c r="H36">
        <v>0</v>
      </c>
      <c r="I36">
        <v>1E-3</v>
      </c>
      <c r="J36">
        <v>0</v>
      </c>
      <c r="K36">
        <v>2E-3</v>
      </c>
      <c r="L36">
        <v>8.9999999999999993E-3</v>
      </c>
      <c r="M36">
        <v>8.6999999999999994E-2</v>
      </c>
      <c r="N36">
        <v>4.1000000000000002E-2</v>
      </c>
      <c r="O36">
        <v>1.6E-2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0.44900000000000001</v>
      </c>
      <c r="W36">
        <v>2.9000000000000001E-2</v>
      </c>
      <c r="X36">
        <v>0</v>
      </c>
      <c r="Y36">
        <v>0</v>
      </c>
      <c r="Z36">
        <v>0.24399999999999999</v>
      </c>
      <c r="AA36">
        <v>0</v>
      </c>
      <c r="AB36">
        <v>0</v>
      </c>
    </row>
    <row r="37" spans="1:28" x14ac:dyDescent="0.25">
      <c r="A37" t="s">
        <v>217</v>
      </c>
      <c r="B37">
        <v>4.3070000000000004</v>
      </c>
      <c r="C37">
        <v>0.49199999999999999</v>
      </c>
      <c r="D37">
        <v>9.1999999999999998E-2</v>
      </c>
      <c r="E37">
        <v>2.8000000000000001E-2</v>
      </c>
      <c r="F37">
        <v>0</v>
      </c>
      <c r="G37">
        <v>1.0999999999999999E-2</v>
      </c>
      <c r="H37">
        <v>1E-3</v>
      </c>
      <c r="I37">
        <v>1E-3</v>
      </c>
      <c r="J37">
        <v>0</v>
      </c>
      <c r="K37">
        <v>7.0000000000000001E-3</v>
      </c>
      <c r="L37">
        <v>2.4E-2</v>
      </c>
      <c r="M37">
        <v>0.35299999999999998</v>
      </c>
      <c r="N37">
        <v>1.2999999999999999E-2</v>
      </c>
      <c r="O37">
        <v>0.02</v>
      </c>
      <c r="P37">
        <v>0</v>
      </c>
      <c r="Q37">
        <v>0</v>
      </c>
      <c r="R37">
        <v>0</v>
      </c>
      <c r="S37">
        <v>0</v>
      </c>
      <c r="T37">
        <v>0</v>
      </c>
      <c r="U37">
        <v>1E-3</v>
      </c>
      <c r="V37">
        <v>0.14499999999999999</v>
      </c>
      <c r="W37">
        <v>0.502</v>
      </c>
      <c r="X37">
        <v>0</v>
      </c>
      <c r="Y37">
        <v>0</v>
      </c>
      <c r="Z37">
        <v>0.26700000000000002</v>
      </c>
      <c r="AA37">
        <v>6.2080000000000002</v>
      </c>
      <c r="AB37">
        <v>0</v>
      </c>
    </row>
    <row r="38" spans="1:28" x14ac:dyDescent="0.25">
      <c r="A38" t="s">
        <v>218</v>
      </c>
      <c r="B38">
        <v>21.193000000000001</v>
      </c>
      <c r="C38">
        <v>8.298</v>
      </c>
      <c r="D38">
        <v>1.3260000000000001</v>
      </c>
      <c r="E38">
        <v>0.75600000000000001</v>
      </c>
      <c r="F38">
        <v>0</v>
      </c>
      <c r="G38">
        <v>0.02</v>
      </c>
      <c r="H38">
        <v>2E-3</v>
      </c>
      <c r="I38">
        <v>1.4E-2</v>
      </c>
      <c r="J38">
        <v>0</v>
      </c>
      <c r="K38">
        <v>9.1999999999999998E-2</v>
      </c>
      <c r="L38">
        <v>0.252</v>
      </c>
      <c r="M38">
        <v>2.6469999999999998</v>
      </c>
      <c r="N38">
        <v>0.20399999999999999</v>
      </c>
      <c r="O38">
        <v>0.19800000000000001</v>
      </c>
      <c r="P38">
        <v>0</v>
      </c>
      <c r="Q38">
        <v>8.0000000000000002E-3</v>
      </c>
      <c r="R38">
        <v>0</v>
      </c>
      <c r="S38">
        <v>3.0000000000000001E-3</v>
      </c>
      <c r="T38">
        <v>0</v>
      </c>
      <c r="U38">
        <v>0.01</v>
      </c>
      <c r="V38">
        <v>5.3979999999999997</v>
      </c>
      <c r="W38">
        <v>4.9749999999999996</v>
      </c>
      <c r="X38">
        <v>1.3149999999999999</v>
      </c>
      <c r="Y38">
        <v>3.81</v>
      </c>
      <c r="Z38">
        <v>4.6749999999999998</v>
      </c>
      <c r="AA38">
        <v>75.971999999999994</v>
      </c>
      <c r="AB38">
        <v>99.191999999999993</v>
      </c>
    </row>
    <row r="39" spans="1:28" x14ac:dyDescent="0.25">
      <c r="A39" t="s">
        <v>219</v>
      </c>
      <c r="B39">
        <v>1.6339999999999999</v>
      </c>
      <c r="C39">
        <v>0.65900000000000003</v>
      </c>
      <c r="D39">
        <v>0.18</v>
      </c>
      <c r="E39">
        <v>0.112</v>
      </c>
      <c r="F39">
        <v>0</v>
      </c>
      <c r="G39">
        <v>3.0000000000000001E-3</v>
      </c>
      <c r="H39">
        <v>0</v>
      </c>
      <c r="I39">
        <v>0</v>
      </c>
      <c r="J39">
        <v>0</v>
      </c>
      <c r="K39">
        <v>0</v>
      </c>
      <c r="L39">
        <v>2.3E-2</v>
      </c>
      <c r="M39">
        <v>0.316</v>
      </c>
      <c r="N39">
        <v>5.6000000000000001E-2</v>
      </c>
      <c r="O39">
        <v>2.1999999999999999E-2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0.17499999999999999</v>
      </c>
      <c r="W39">
        <v>0.64400000000000002</v>
      </c>
      <c r="X39">
        <v>4.0000000000000001E-3</v>
      </c>
      <c r="Y39">
        <v>0</v>
      </c>
      <c r="Z39">
        <v>0.318</v>
      </c>
      <c r="AA39">
        <v>5.7000000000000002E-2</v>
      </c>
      <c r="AB39">
        <v>0</v>
      </c>
    </row>
    <row r="40" spans="1:28" x14ac:dyDescent="0.25">
      <c r="A40" t="s">
        <v>220</v>
      </c>
      <c r="B40">
        <v>25.655000000000001</v>
      </c>
      <c r="C40">
        <v>2.0129999999999999</v>
      </c>
      <c r="D40">
        <v>0.63200000000000001</v>
      </c>
      <c r="E40">
        <v>0.93300000000000005</v>
      </c>
      <c r="F40">
        <v>0</v>
      </c>
      <c r="G40">
        <v>0.184</v>
      </c>
      <c r="H40">
        <v>9.8000000000000004E-2</v>
      </c>
      <c r="I40">
        <v>1.4999999999999999E-2</v>
      </c>
      <c r="J40">
        <v>0</v>
      </c>
      <c r="K40">
        <v>7.6999999999999999E-2</v>
      </c>
      <c r="L40">
        <v>0.25900000000000001</v>
      </c>
      <c r="M40">
        <v>1.345</v>
      </c>
      <c r="N40">
        <v>0.36699999999999999</v>
      </c>
      <c r="O40">
        <v>0.52600000000000002</v>
      </c>
      <c r="P40">
        <v>0</v>
      </c>
      <c r="Q40">
        <v>0.01</v>
      </c>
      <c r="R40">
        <v>2E-3</v>
      </c>
      <c r="S40">
        <v>0</v>
      </c>
      <c r="T40">
        <v>0</v>
      </c>
      <c r="U40">
        <v>0</v>
      </c>
      <c r="V40">
        <v>1.6180000000000001</v>
      </c>
      <c r="W40">
        <v>1.127</v>
      </c>
      <c r="X40">
        <v>5.2999999999999999E-2</v>
      </c>
      <c r="Y40">
        <v>1.728</v>
      </c>
      <c r="Z40">
        <v>2.3780000000000001</v>
      </c>
      <c r="AA40">
        <v>56.756999999999998</v>
      </c>
      <c r="AB40">
        <v>36</v>
      </c>
    </row>
    <row r="41" spans="1:28" x14ac:dyDescent="0.25">
      <c r="A41" t="s">
        <v>221</v>
      </c>
      <c r="B41">
        <v>10.548999999999999</v>
      </c>
      <c r="C41">
        <v>0.35199999999999998</v>
      </c>
      <c r="D41">
        <v>0.17799999999999999</v>
      </c>
      <c r="E41">
        <v>0.112</v>
      </c>
      <c r="F41">
        <v>0</v>
      </c>
      <c r="G41">
        <v>2E-3</v>
      </c>
      <c r="H41">
        <v>1E-3</v>
      </c>
      <c r="I41">
        <v>0.01</v>
      </c>
      <c r="J41">
        <v>0</v>
      </c>
      <c r="K41">
        <v>1.7000000000000001E-2</v>
      </c>
      <c r="L41">
        <v>2.1999999999999999E-2</v>
      </c>
      <c r="M41">
        <v>0.187</v>
      </c>
      <c r="N41">
        <v>5.8000000000000003E-2</v>
      </c>
      <c r="O41">
        <v>0.11700000000000001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0.32200000000000001</v>
      </c>
      <c r="W41">
        <v>0.76400000000000001</v>
      </c>
      <c r="X41">
        <v>2E-3</v>
      </c>
      <c r="Y41">
        <v>0</v>
      </c>
      <c r="Z41">
        <v>0.51700000000000002</v>
      </c>
      <c r="AA41">
        <v>0.64600000000000002</v>
      </c>
      <c r="AB41">
        <v>0</v>
      </c>
    </row>
    <row r="42" spans="1:28" x14ac:dyDescent="0.25">
      <c r="A42" t="s">
        <v>222</v>
      </c>
      <c r="B42">
        <v>25.646999999999998</v>
      </c>
      <c r="C42">
        <v>1.367</v>
      </c>
      <c r="D42">
        <v>1.002</v>
      </c>
      <c r="E42">
        <v>0.67</v>
      </c>
      <c r="F42">
        <v>0</v>
      </c>
      <c r="G42">
        <v>3.6999999999999998E-2</v>
      </c>
      <c r="H42">
        <v>0</v>
      </c>
      <c r="I42">
        <v>3.4000000000000002E-2</v>
      </c>
      <c r="J42">
        <v>0</v>
      </c>
      <c r="K42">
        <v>0.14799999999999999</v>
      </c>
      <c r="L42">
        <v>0.09</v>
      </c>
      <c r="M42">
        <v>0.79600000000000004</v>
      </c>
      <c r="N42">
        <v>0.59799999999999998</v>
      </c>
      <c r="O42">
        <v>0.109</v>
      </c>
      <c r="P42">
        <v>0</v>
      </c>
      <c r="Q42">
        <v>2.1000000000000001E-2</v>
      </c>
      <c r="R42">
        <v>0</v>
      </c>
      <c r="S42">
        <v>1.2999999999999999E-2</v>
      </c>
      <c r="T42">
        <v>0</v>
      </c>
      <c r="U42">
        <v>4.0000000000000001E-3</v>
      </c>
      <c r="V42">
        <v>3.359</v>
      </c>
      <c r="W42">
        <v>1.508</v>
      </c>
      <c r="X42">
        <v>2.8159999999999998</v>
      </c>
      <c r="Y42">
        <v>2.6779999999999999</v>
      </c>
      <c r="Z42">
        <v>2.3759999999999999</v>
      </c>
      <c r="AA42">
        <v>20.076000000000001</v>
      </c>
      <c r="AB42">
        <v>4.8000000000000001E-2</v>
      </c>
    </row>
    <row r="43" spans="1:28" x14ac:dyDescent="0.25">
      <c r="A43" t="s">
        <v>223</v>
      </c>
      <c r="B43">
        <v>0.436</v>
      </c>
      <c r="C43">
        <v>0.114</v>
      </c>
      <c r="D43">
        <v>0</v>
      </c>
      <c r="E43">
        <v>0</v>
      </c>
      <c r="F43">
        <v>3.0000000000000001E-3</v>
      </c>
      <c r="G43">
        <v>1.2999999999999999E-2</v>
      </c>
      <c r="H43">
        <v>0</v>
      </c>
      <c r="I43">
        <v>7.0000000000000001E-3</v>
      </c>
      <c r="J43">
        <v>0</v>
      </c>
      <c r="K43">
        <v>3.0000000000000001E-3</v>
      </c>
      <c r="L43">
        <v>5.0000000000000001E-3</v>
      </c>
      <c r="M43">
        <v>4.2999999999999997E-2</v>
      </c>
      <c r="N43">
        <v>8.0000000000000002E-3</v>
      </c>
      <c r="O43">
        <v>4.2999999999999997E-2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0.36099999999999999</v>
      </c>
      <c r="W43">
        <v>0.155</v>
      </c>
      <c r="X43">
        <v>0</v>
      </c>
      <c r="Y43">
        <v>0</v>
      </c>
      <c r="Z43">
        <v>2.9000000000000001E-2</v>
      </c>
      <c r="AA43">
        <v>0</v>
      </c>
      <c r="AB43">
        <v>0</v>
      </c>
    </row>
    <row r="44" spans="1:28" x14ac:dyDescent="0.25">
      <c r="A44" t="s">
        <v>13</v>
      </c>
      <c r="B44">
        <v>10.125</v>
      </c>
      <c r="C44">
        <v>1.4</v>
      </c>
      <c r="D44">
        <v>0.38400000000000001</v>
      </c>
      <c r="E44">
        <v>0.33100000000000002</v>
      </c>
      <c r="F44">
        <v>0</v>
      </c>
      <c r="G44">
        <v>2.7E-2</v>
      </c>
      <c r="H44">
        <v>0</v>
      </c>
      <c r="I44">
        <v>5.0000000000000001E-3</v>
      </c>
      <c r="J44">
        <v>0</v>
      </c>
      <c r="K44">
        <v>5.0000000000000001E-3</v>
      </c>
      <c r="L44">
        <v>5.6000000000000001E-2</v>
      </c>
      <c r="M44">
        <v>0.88800000000000001</v>
      </c>
      <c r="N44">
        <v>0.14299999999999999</v>
      </c>
      <c r="O44">
        <v>0.10299999999999999</v>
      </c>
      <c r="P44">
        <v>0</v>
      </c>
      <c r="Q44">
        <v>6.0000000000000001E-3</v>
      </c>
      <c r="R44">
        <v>0</v>
      </c>
      <c r="S44">
        <v>0</v>
      </c>
      <c r="T44">
        <v>0</v>
      </c>
      <c r="U44">
        <v>0</v>
      </c>
      <c r="V44">
        <v>1.9890000000000001</v>
      </c>
      <c r="W44">
        <v>1.1819999999999999</v>
      </c>
      <c r="X44">
        <v>4.0000000000000001E-3</v>
      </c>
      <c r="Y44">
        <v>0</v>
      </c>
      <c r="Z44">
        <v>1.5840000000000001</v>
      </c>
      <c r="AA44">
        <v>0.19600000000000001</v>
      </c>
      <c r="AB44">
        <v>0</v>
      </c>
    </row>
    <row r="45" spans="1:28" x14ac:dyDescent="0.25">
      <c r="A45" t="s">
        <v>224</v>
      </c>
      <c r="B45">
        <v>2.2970000000000002</v>
      </c>
      <c r="C45">
        <v>0.375</v>
      </c>
      <c r="D45">
        <v>0.157</v>
      </c>
      <c r="E45">
        <v>5.3999999999999999E-2</v>
      </c>
      <c r="F45">
        <v>0</v>
      </c>
      <c r="G45">
        <v>3.3000000000000002E-2</v>
      </c>
      <c r="H45">
        <v>0</v>
      </c>
      <c r="I45">
        <v>0</v>
      </c>
      <c r="J45">
        <v>0</v>
      </c>
      <c r="K45">
        <v>3.5999999999999997E-2</v>
      </c>
      <c r="L45">
        <v>3.3000000000000002E-2</v>
      </c>
      <c r="M45">
        <v>0.13200000000000001</v>
      </c>
      <c r="N45">
        <v>2.1999999999999999E-2</v>
      </c>
      <c r="O45">
        <v>1.2999999999999999E-2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0.38800000000000001</v>
      </c>
      <c r="W45">
        <v>0.28599999999999998</v>
      </c>
      <c r="X45">
        <v>3.5000000000000003E-2</v>
      </c>
      <c r="Y45">
        <v>0.16700000000000001</v>
      </c>
      <c r="Z45">
        <v>0.11799999999999999</v>
      </c>
      <c r="AA45">
        <v>0.03</v>
      </c>
      <c r="AB45">
        <v>0</v>
      </c>
    </row>
    <row r="46" spans="1:28" x14ac:dyDescent="0.25">
      <c r="A46" t="s">
        <v>225</v>
      </c>
      <c r="B46">
        <v>15.407999999999999</v>
      </c>
      <c r="C46">
        <v>3.0790000000000002</v>
      </c>
      <c r="D46">
        <v>1.998</v>
      </c>
      <c r="E46">
        <v>1.05</v>
      </c>
      <c r="F46">
        <v>0</v>
      </c>
      <c r="G46">
        <v>0.28199999999999997</v>
      </c>
      <c r="H46">
        <v>1.9E-2</v>
      </c>
      <c r="I46">
        <v>7.4999999999999997E-2</v>
      </c>
      <c r="J46">
        <v>0</v>
      </c>
      <c r="K46">
        <v>1.0999999999999999E-2</v>
      </c>
      <c r="L46">
        <v>0.108</v>
      </c>
      <c r="M46">
        <v>1.2629999999999999</v>
      </c>
      <c r="N46">
        <v>0.23300000000000001</v>
      </c>
      <c r="O46">
        <v>0.16</v>
      </c>
      <c r="P46">
        <v>0</v>
      </c>
      <c r="Q46">
        <v>8.9999999999999993E-3</v>
      </c>
      <c r="R46">
        <v>0</v>
      </c>
      <c r="S46">
        <v>3.0000000000000001E-3</v>
      </c>
      <c r="T46">
        <v>0</v>
      </c>
      <c r="U46">
        <v>0</v>
      </c>
      <c r="V46">
        <v>3.3570000000000002</v>
      </c>
      <c r="W46">
        <v>2.6829999999999998</v>
      </c>
      <c r="X46">
        <v>5.0000000000000001E-3</v>
      </c>
      <c r="Y46">
        <v>0</v>
      </c>
      <c r="Z46">
        <v>4.1150000000000002</v>
      </c>
      <c r="AA46">
        <v>1.1539999999999999</v>
      </c>
      <c r="AB46">
        <v>62.902000000000001</v>
      </c>
    </row>
    <row r="47" spans="1:28" x14ac:dyDescent="0.25">
      <c r="A47" t="s">
        <v>226</v>
      </c>
      <c r="B47">
        <v>32.549999999999997</v>
      </c>
      <c r="C47">
        <v>3.3220000000000001</v>
      </c>
      <c r="D47">
        <v>0.71699999999999997</v>
      </c>
      <c r="E47">
        <v>0.437</v>
      </c>
      <c r="F47">
        <v>0</v>
      </c>
      <c r="G47">
        <v>6.4000000000000001E-2</v>
      </c>
      <c r="H47">
        <v>9.8000000000000004E-2</v>
      </c>
      <c r="I47">
        <v>2.1000000000000001E-2</v>
      </c>
      <c r="J47">
        <v>0</v>
      </c>
      <c r="K47">
        <v>2.8000000000000001E-2</v>
      </c>
      <c r="L47">
        <v>0.129</v>
      </c>
      <c r="M47">
        <v>2.6150000000000002</v>
      </c>
      <c r="N47">
        <v>0.36099999999999999</v>
      </c>
      <c r="O47">
        <v>0.26800000000000002</v>
      </c>
      <c r="P47">
        <v>0</v>
      </c>
      <c r="Q47">
        <v>0</v>
      </c>
      <c r="R47">
        <v>0</v>
      </c>
      <c r="S47">
        <v>1E-3</v>
      </c>
      <c r="T47">
        <v>0</v>
      </c>
      <c r="U47">
        <v>1E-3</v>
      </c>
      <c r="V47">
        <v>2.903</v>
      </c>
      <c r="W47">
        <v>3.1030000000000002</v>
      </c>
      <c r="X47">
        <v>0.76600000000000001</v>
      </c>
      <c r="Y47">
        <v>4.59</v>
      </c>
      <c r="Z47">
        <v>5.1879999999999997</v>
      </c>
      <c r="AA47">
        <v>27.824999999999999</v>
      </c>
      <c r="AB47">
        <v>3.544</v>
      </c>
    </row>
    <row r="48" spans="1:28" x14ac:dyDescent="0.25">
      <c r="A48" t="s">
        <v>227</v>
      </c>
      <c r="B48">
        <v>44.771999999999998</v>
      </c>
      <c r="C48">
        <v>16.321999999999999</v>
      </c>
      <c r="D48">
        <v>3.6190000000000002</v>
      </c>
      <c r="E48">
        <v>2.0630000000000002</v>
      </c>
      <c r="F48">
        <v>0</v>
      </c>
      <c r="G48">
        <v>0.41299999999999998</v>
      </c>
      <c r="H48">
        <v>4.0000000000000001E-3</v>
      </c>
      <c r="I48">
        <v>3.5999999999999997E-2</v>
      </c>
      <c r="J48">
        <v>1E-3</v>
      </c>
      <c r="K48">
        <v>0.14699999999999999</v>
      </c>
      <c r="L48">
        <v>0.55000000000000004</v>
      </c>
      <c r="M48">
        <v>7.15</v>
      </c>
      <c r="N48">
        <v>0.85299999999999998</v>
      </c>
      <c r="O48">
        <v>0.76500000000000001</v>
      </c>
      <c r="P48">
        <v>0</v>
      </c>
      <c r="Q48">
        <v>1.9E-2</v>
      </c>
      <c r="R48">
        <v>0</v>
      </c>
      <c r="S48">
        <v>0</v>
      </c>
      <c r="T48">
        <v>0</v>
      </c>
      <c r="U48">
        <v>1.7000000000000001E-2</v>
      </c>
      <c r="V48">
        <v>14.808999999999999</v>
      </c>
      <c r="W48">
        <v>9.0530000000000008</v>
      </c>
      <c r="X48">
        <v>0.45400000000000001</v>
      </c>
      <c r="Y48">
        <v>0.94599999999999995</v>
      </c>
      <c r="Z48">
        <v>9.7129999999999992</v>
      </c>
      <c r="AA48">
        <v>222.73599999999999</v>
      </c>
      <c r="AB48">
        <v>558.87099999999998</v>
      </c>
    </row>
    <row r="49" spans="1:28" x14ac:dyDescent="0.25">
      <c r="A49" t="s">
        <v>228</v>
      </c>
      <c r="B49">
        <v>9.0619999999999994</v>
      </c>
      <c r="C49">
        <v>4.0839999999999996</v>
      </c>
      <c r="D49">
        <v>0.41</v>
      </c>
      <c r="E49">
        <v>0.40300000000000002</v>
      </c>
      <c r="F49">
        <v>0</v>
      </c>
      <c r="G49">
        <v>1.0999999999999999E-2</v>
      </c>
      <c r="H49">
        <v>0</v>
      </c>
      <c r="I49">
        <v>0</v>
      </c>
      <c r="J49">
        <v>0</v>
      </c>
      <c r="K49">
        <v>7.2999999999999995E-2</v>
      </c>
      <c r="L49">
        <v>0.13700000000000001</v>
      </c>
      <c r="M49">
        <v>1.962</v>
      </c>
      <c r="N49">
        <v>0.13700000000000001</v>
      </c>
      <c r="O49">
        <v>0.14699999999999999</v>
      </c>
      <c r="P49">
        <v>0</v>
      </c>
      <c r="Q49">
        <v>4.0000000000000001E-3</v>
      </c>
      <c r="R49">
        <v>0</v>
      </c>
      <c r="S49">
        <v>0</v>
      </c>
      <c r="T49">
        <v>0</v>
      </c>
      <c r="U49">
        <v>0</v>
      </c>
      <c r="V49">
        <v>2.3140000000000001</v>
      </c>
      <c r="W49">
        <v>3.2029999999999998</v>
      </c>
      <c r="X49">
        <v>0.42799999999999999</v>
      </c>
      <c r="Y49">
        <v>2.0070000000000001</v>
      </c>
      <c r="Z49">
        <v>1.9019999999999999</v>
      </c>
      <c r="AA49">
        <v>39.694000000000003</v>
      </c>
      <c r="AB49">
        <v>6.6139999999999999</v>
      </c>
    </row>
    <row r="50" spans="1:28" x14ac:dyDescent="0.25">
      <c r="A50" t="s">
        <v>229</v>
      </c>
      <c r="B50">
        <v>47.866</v>
      </c>
      <c r="C50">
        <v>3.956</v>
      </c>
      <c r="D50">
        <v>1.6220000000000001</v>
      </c>
      <c r="E50">
        <v>1.506</v>
      </c>
      <c r="F50">
        <v>0</v>
      </c>
      <c r="G50">
        <v>0.32700000000000001</v>
      </c>
      <c r="H50">
        <v>4.2000000000000003E-2</v>
      </c>
      <c r="I50">
        <v>7.0999999999999994E-2</v>
      </c>
      <c r="J50">
        <v>0</v>
      </c>
      <c r="K50">
        <v>3.5999999999999997E-2</v>
      </c>
      <c r="L50">
        <v>0.28699999999999998</v>
      </c>
      <c r="M50">
        <v>2.113</v>
      </c>
      <c r="N50">
        <v>0.40699999999999997</v>
      </c>
      <c r="O50">
        <v>0.432</v>
      </c>
      <c r="P50">
        <v>0</v>
      </c>
      <c r="Q50">
        <v>3.9E-2</v>
      </c>
      <c r="R50">
        <v>0.01</v>
      </c>
      <c r="S50">
        <v>2E-3</v>
      </c>
      <c r="T50">
        <v>0</v>
      </c>
      <c r="U50">
        <v>5.0000000000000001E-3</v>
      </c>
      <c r="V50">
        <v>2.6539999999999999</v>
      </c>
      <c r="W50">
        <v>3.3420000000000001</v>
      </c>
      <c r="X50">
        <v>0.25600000000000001</v>
      </c>
      <c r="Y50">
        <v>10.615</v>
      </c>
      <c r="Z50">
        <v>4.8170000000000002</v>
      </c>
      <c r="AA50">
        <v>43.274000000000001</v>
      </c>
      <c r="AB50">
        <v>600.06299999999999</v>
      </c>
    </row>
    <row r="51" spans="1:28" x14ac:dyDescent="0.25">
      <c r="A51" t="s">
        <v>52</v>
      </c>
      <c r="B51">
        <v>9.3819999999999997</v>
      </c>
      <c r="C51">
        <v>0.48799999999999999</v>
      </c>
      <c r="D51">
        <v>0.35299999999999998</v>
      </c>
      <c r="E51">
        <v>0.35399999999999998</v>
      </c>
      <c r="F51">
        <v>0</v>
      </c>
      <c r="G51">
        <v>3.7999999999999999E-2</v>
      </c>
      <c r="H51">
        <v>0</v>
      </c>
      <c r="I51">
        <v>4.7E-2</v>
      </c>
      <c r="J51">
        <v>0</v>
      </c>
      <c r="K51">
        <v>4.2000000000000003E-2</v>
      </c>
      <c r="L51">
        <v>1.0999999999999999E-2</v>
      </c>
      <c r="M51">
        <v>0.32600000000000001</v>
      </c>
      <c r="N51">
        <v>0.107</v>
      </c>
      <c r="O51">
        <v>5.1999999999999998E-2</v>
      </c>
      <c r="P51">
        <v>0</v>
      </c>
      <c r="Q51">
        <v>0</v>
      </c>
      <c r="R51">
        <v>0</v>
      </c>
      <c r="S51">
        <v>4.0000000000000001E-3</v>
      </c>
      <c r="T51">
        <v>0</v>
      </c>
      <c r="U51">
        <v>0</v>
      </c>
      <c r="V51">
        <v>0.93400000000000005</v>
      </c>
      <c r="W51">
        <v>1.1459999999999999</v>
      </c>
      <c r="X51">
        <v>0.65200000000000002</v>
      </c>
      <c r="Y51">
        <v>6.5650000000000004</v>
      </c>
      <c r="Z51">
        <v>0.86</v>
      </c>
      <c r="AA51">
        <v>9.9000000000000005E-2</v>
      </c>
      <c r="AB51">
        <v>0</v>
      </c>
    </row>
    <row r="52" spans="1:28" x14ac:dyDescent="0.25">
      <c r="A52" t="s">
        <v>230</v>
      </c>
      <c r="B52">
        <v>4.2350000000000003</v>
      </c>
      <c r="C52">
        <v>0.93</v>
      </c>
      <c r="D52">
        <v>0.6</v>
      </c>
      <c r="E52">
        <v>0.41199999999999998</v>
      </c>
      <c r="F52">
        <v>0</v>
      </c>
      <c r="G52">
        <v>5.3999999999999999E-2</v>
      </c>
      <c r="H52">
        <v>1E-3</v>
      </c>
      <c r="I52">
        <v>3.3000000000000002E-2</v>
      </c>
      <c r="J52">
        <v>0</v>
      </c>
      <c r="K52">
        <v>1E-3</v>
      </c>
      <c r="L52">
        <v>2.8000000000000001E-2</v>
      </c>
      <c r="M52">
        <v>0.221</v>
      </c>
      <c r="N52">
        <v>6.0999999999999999E-2</v>
      </c>
      <c r="O52">
        <v>3.1E-2</v>
      </c>
      <c r="P52">
        <v>0</v>
      </c>
      <c r="Q52">
        <v>2E-3</v>
      </c>
      <c r="R52">
        <v>0</v>
      </c>
      <c r="S52">
        <v>0</v>
      </c>
      <c r="T52">
        <v>0</v>
      </c>
      <c r="U52">
        <v>0</v>
      </c>
      <c r="V52">
        <v>0.83599999999999997</v>
      </c>
      <c r="W52">
        <v>0.877</v>
      </c>
      <c r="X52">
        <v>0</v>
      </c>
      <c r="Y52">
        <v>0</v>
      </c>
      <c r="Z52">
        <v>0.69899999999999995</v>
      </c>
      <c r="AA52">
        <v>2.5000000000000001E-2</v>
      </c>
      <c r="AB52">
        <v>0</v>
      </c>
    </row>
    <row r="53" spans="1:28" x14ac:dyDescent="0.25">
      <c r="A53" t="s">
        <v>231</v>
      </c>
      <c r="B53">
        <v>45.259</v>
      </c>
      <c r="C53">
        <v>2.895</v>
      </c>
      <c r="D53">
        <v>1.111</v>
      </c>
      <c r="E53">
        <v>0.80800000000000005</v>
      </c>
      <c r="F53">
        <v>0</v>
      </c>
      <c r="G53">
        <v>6.4000000000000001E-2</v>
      </c>
      <c r="H53">
        <v>2E-3</v>
      </c>
      <c r="I53">
        <v>1.0999999999999999E-2</v>
      </c>
      <c r="J53">
        <v>0</v>
      </c>
      <c r="K53">
        <v>0.14899999999999999</v>
      </c>
      <c r="L53">
        <v>0.113</v>
      </c>
      <c r="M53">
        <v>1.421</v>
      </c>
      <c r="N53">
        <v>0.29199999999999998</v>
      </c>
      <c r="O53">
        <v>0.219</v>
      </c>
      <c r="P53">
        <v>0</v>
      </c>
      <c r="Q53">
        <v>7.0000000000000001E-3</v>
      </c>
      <c r="R53">
        <v>0</v>
      </c>
      <c r="S53">
        <v>8.9999999999999993E-3</v>
      </c>
      <c r="T53">
        <v>0</v>
      </c>
      <c r="U53">
        <v>1E-3</v>
      </c>
      <c r="V53">
        <v>6.8780000000000001</v>
      </c>
      <c r="W53">
        <v>3.726</v>
      </c>
      <c r="X53">
        <v>0.41</v>
      </c>
      <c r="Y53">
        <v>12.351000000000001</v>
      </c>
      <c r="Z53">
        <v>2.8820000000000001</v>
      </c>
      <c r="AA53">
        <v>99.686999999999998</v>
      </c>
      <c r="AB53">
        <v>744.82600000000002</v>
      </c>
    </row>
    <row r="54" spans="1:28" x14ac:dyDescent="0.25">
      <c r="A54" t="s">
        <v>232</v>
      </c>
      <c r="B54">
        <v>32.012</v>
      </c>
      <c r="C54">
        <v>3.97</v>
      </c>
      <c r="D54">
        <v>2.1680000000000001</v>
      </c>
      <c r="E54">
        <v>6.0960000000000001</v>
      </c>
      <c r="F54">
        <v>5.1989999999999998</v>
      </c>
      <c r="G54">
        <v>2.1539999999999999</v>
      </c>
      <c r="H54">
        <v>0</v>
      </c>
      <c r="I54">
        <v>0.09</v>
      </c>
      <c r="J54">
        <v>0</v>
      </c>
      <c r="K54">
        <v>0.188</v>
      </c>
      <c r="L54">
        <v>0.69499999999999995</v>
      </c>
      <c r="M54">
        <v>10.71</v>
      </c>
      <c r="N54">
        <v>3.55</v>
      </c>
      <c r="O54">
        <v>9.3559999999999999</v>
      </c>
      <c r="P54">
        <v>0.223</v>
      </c>
      <c r="Q54">
        <v>0.13800000000000001</v>
      </c>
      <c r="R54">
        <v>0</v>
      </c>
      <c r="S54">
        <v>1E-3</v>
      </c>
      <c r="T54">
        <v>0</v>
      </c>
      <c r="U54">
        <v>1.2E-2</v>
      </c>
      <c r="V54">
        <v>7.5940000000000003</v>
      </c>
      <c r="W54">
        <v>3.07</v>
      </c>
      <c r="X54">
        <v>0.70499999999999996</v>
      </c>
      <c r="Y54">
        <v>9.3119999999999994</v>
      </c>
      <c r="Z54">
        <v>17.510999999999999</v>
      </c>
      <c r="AA54">
        <v>34.811999999999998</v>
      </c>
      <c r="AB54">
        <v>0</v>
      </c>
    </row>
    <row r="55" spans="1:28" x14ac:dyDescent="0.25">
      <c r="A55" t="s">
        <v>233</v>
      </c>
      <c r="B55">
        <v>6.4550000000000001</v>
      </c>
      <c r="C55">
        <v>0.77900000000000003</v>
      </c>
      <c r="D55">
        <v>0.79400000000000004</v>
      </c>
      <c r="E55">
        <v>0.69099999999999995</v>
      </c>
      <c r="F55">
        <v>0</v>
      </c>
      <c r="G55">
        <v>0.88500000000000001</v>
      </c>
      <c r="H55">
        <v>0.16</v>
      </c>
      <c r="I55">
        <v>4.8000000000000001E-2</v>
      </c>
      <c r="J55">
        <v>1E-3</v>
      </c>
      <c r="K55">
        <v>1.4E-2</v>
      </c>
      <c r="L55">
        <v>5.1999999999999998E-2</v>
      </c>
      <c r="M55">
        <v>0.81100000000000005</v>
      </c>
      <c r="N55">
        <v>0.10299999999999999</v>
      </c>
      <c r="O55">
        <v>0.20300000000000001</v>
      </c>
      <c r="P55">
        <v>0</v>
      </c>
      <c r="Q55">
        <v>2.5000000000000001E-2</v>
      </c>
      <c r="R55">
        <v>6.0000000000000001E-3</v>
      </c>
      <c r="S55">
        <v>2E-3</v>
      </c>
      <c r="T55">
        <v>0</v>
      </c>
      <c r="U55">
        <v>0</v>
      </c>
      <c r="V55">
        <v>0.67</v>
      </c>
      <c r="W55">
        <v>0.90500000000000003</v>
      </c>
      <c r="X55">
        <v>5.0000000000000001E-3</v>
      </c>
      <c r="Y55">
        <v>0</v>
      </c>
      <c r="Z55">
        <v>1.32</v>
      </c>
      <c r="AA55">
        <v>7.9000000000000001E-2</v>
      </c>
      <c r="AB55">
        <v>0</v>
      </c>
    </row>
    <row r="56" spans="1:28" x14ac:dyDescent="0.25">
      <c r="A56" t="s">
        <v>234</v>
      </c>
      <c r="B56">
        <v>28.277999999999999</v>
      </c>
      <c r="C56">
        <v>3.22</v>
      </c>
      <c r="D56">
        <v>0.80900000000000005</v>
      </c>
      <c r="E56">
        <v>0.755</v>
      </c>
      <c r="F56">
        <v>0</v>
      </c>
      <c r="G56">
        <v>0.11</v>
      </c>
      <c r="H56">
        <v>1.208</v>
      </c>
      <c r="I56">
        <v>0.04</v>
      </c>
      <c r="J56">
        <v>0</v>
      </c>
      <c r="K56">
        <v>0.06</v>
      </c>
      <c r="L56">
        <v>0.182</v>
      </c>
      <c r="M56">
        <v>2.8140000000000001</v>
      </c>
      <c r="N56">
        <v>0.51500000000000001</v>
      </c>
      <c r="O56">
        <v>1.0900000000000001</v>
      </c>
      <c r="P56">
        <v>0</v>
      </c>
      <c r="Q56">
        <v>1.4999999999999999E-2</v>
      </c>
      <c r="R56">
        <v>6.8000000000000005E-2</v>
      </c>
      <c r="S56">
        <v>8.0000000000000002E-3</v>
      </c>
      <c r="T56">
        <v>0</v>
      </c>
      <c r="U56">
        <v>1E-3</v>
      </c>
      <c r="V56">
        <v>2.577</v>
      </c>
      <c r="W56">
        <v>3.3250000000000002</v>
      </c>
      <c r="X56">
        <v>0.86599999999999999</v>
      </c>
      <c r="Y56">
        <v>3.012</v>
      </c>
      <c r="Z56">
        <v>5.6360000000000001</v>
      </c>
      <c r="AA56">
        <v>15.928000000000001</v>
      </c>
      <c r="AB56">
        <v>5.7000000000000002E-2</v>
      </c>
    </row>
    <row r="57" spans="1:28" x14ac:dyDescent="0.25">
      <c r="A57" t="s">
        <v>235</v>
      </c>
      <c r="B57">
        <v>16.437000000000001</v>
      </c>
      <c r="C57">
        <v>2.6440000000000001</v>
      </c>
      <c r="D57">
        <v>0.995</v>
      </c>
      <c r="E57">
        <v>0.55700000000000005</v>
      </c>
      <c r="F57">
        <v>0</v>
      </c>
      <c r="G57">
        <v>0.84799999999999998</v>
      </c>
      <c r="H57">
        <v>2.5999999999999999E-2</v>
      </c>
      <c r="I57">
        <v>0.01</v>
      </c>
      <c r="J57">
        <v>0</v>
      </c>
      <c r="K57">
        <v>2.3E-2</v>
      </c>
      <c r="L57">
        <v>0.08</v>
      </c>
      <c r="M57">
        <v>1.6579999999999999</v>
      </c>
      <c r="N57">
        <v>0.16500000000000001</v>
      </c>
      <c r="O57">
        <v>0.157</v>
      </c>
      <c r="P57">
        <v>0</v>
      </c>
      <c r="Q57">
        <v>4.3999999999999997E-2</v>
      </c>
      <c r="R57">
        <v>6.0000000000000001E-3</v>
      </c>
      <c r="S57">
        <v>2E-3</v>
      </c>
      <c r="T57">
        <v>0</v>
      </c>
      <c r="U57">
        <v>1E-3</v>
      </c>
      <c r="V57">
        <v>1.607</v>
      </c>
      <c r="W57">
        <v>2.1280000000000001</v>
      </c>
      <c r="X57">
        <v>0.61299999999999999</v>
      </c>
      <c r="Y57">
        <v>3.3149999999999999</v>
      </c>
      <c r="Z57">
        <v>1.49</v>
      </c>
      <c r="AA57">
        <v>0.3</v>
      </c>
      <c r="AB57">
        <v>51.01</v>
      </c>
    </row>
    <row r="58" spans="1:28" x14ac:dyDescent="0.25">
      <c r="A58" t="s">
        <v>236</v>
      </c>
      <c r="B58">
        <v>8.9610000000000003</v>
      </c>
      <c r="C58">
        <v>3.27</v>
      </c>
      <c r="D58">
        <v>0.254</v>
      </c>
      <c r="E58">
        <v>0.22600000000000001</v>
      </c>
      <c r="F58">
        <v>0</v>
      </c>
      <c r="G58">
        <v>3.1E-2</v>
      </c>
      <c r="H58">
        <v>0</v>
      </c>
      <c r="I58">
        <v>0</v>
      </c>
      <c r="J58">
        <v>0</v>
      </c>
      <c r="K58">
        <v>8.9999999999999993E-3</v>
      </c>
      <c r="L58">
        <v>8.8999999999999996E-2</v>
      </c>
      <c r="M58">
        <v>1.7270000000000001</v>
      </c>
      <c r="N58">
        <v>0.158</v>
      </c>
      <c r="O58">
        <v>7.5999999999999998E-2</v>
      </c>
      <c r="P58">
        <v>0</v>
      </c>
      <c r="Q58">
        <v>0</v>
      </c>
      <c r="R58">
        <v>0</v>
      </c>
      <c r="S58">
        <v>0</v>
      </c>
      <c r="T58">
        <v>0</v>
      </c>
      <c r="U58">
        <v>1E-3</v>
      </c>
      <c r="V58">
        <v>1.0860000000000001</v>
      </c>
      <c r="W58">
        <v>3.3540000000000001</v>
      </c>
      <c r="X58">
        <v>1.478</v>
      </c>
      <c r="Y58">
        <v>6.1120000000000001</v>
      </c>
      <c r="Z58">
        <v>2.0750000000000002</v>
      </c>
      <c r="AA58">
        <v>168.822</v>
      </c>
      <c r="AB58">
        <v>6.5410000000000004</v>
      </c>
    </row>
    <row r="59" spans="1:28" x14ac:dyDescent="0.25">
      <c r="A59" t="s">
        <v>237</v>
      </c>
      <c r="B59">
        <v>0.54200000000000004</v>
      </c>
      <c r="C59">
        <v>0.13800000000000001</v>
      </c>
      <c r="D59">
        <v>8.0000000000000002E-3</v>
      </c>
      <c r="E59">
        <v>2.7E-2</v>
      </c>
      <c r="F59">
        <v>0</v>
      </c>
      <c r="G59">
        <v>5.0000000000000001E-3</v>
      </c>
      <c r="H59">
        <v>0</v>
      </c>
      <c r="I59">
        <v>3.0000000000000001E-3</v>
      </c>
      <c r="J59">
        <v>0</v>
      </c>
      <c r="K59">
        <v>0</v>
      </c>
      <c r="L59">
        <v>2.3E-2</v>
      </c>
      <c r="M59">
        <v>0.114</v>
      </c>
      <c r="N59">
        <v>2.7E-2</v>
      </c>
      <c r="O59">
        <v>6.0000000000000001E-3</v>
      </c>
      <c r="P59">
        <v>0</v>
      </c>
      <c r="Q59">
        <v>0</v>
      </c>
      <c r="R59">
        <v>0</v>
      </c>
      <c r="S59">
        <v>0</v>
      </c>
      <c r="T59">
        <v>0</v>
      </c>
      <c r="U59">
        <v>1E-3</v>
      </c>
      <c r="V59">
        <v>3.5000000000000003E-2</v>
      </c>
      <c r="W59">
        <v>8.2000000000000003E-2</v>
      </c>
      <c r="X59">
        <v>2E-3</v>
      </c>
      <c r="Y59">
        <v>0</v>
      </c>
      <c r="Z59">
        <v>0.36399999999999999</v>
      </c>
      <c r="AA59">
        <v>5.6000000000000001E-2</v>
      </c>
      <c r="AB59">
        <v>0</v>
      </c>
    </row>
    <row r="60" spans="1:28" x14ac:dyDescent="0.25">
      <c r="A60" t="s">
        <v>238</v>
      </c>
      <c r="B60">
        <v>8.2029999999999994</v>
      </c>
      <c r="C60">
        <v>0.28499999999999998</v>
      </c>
      <c r="D60">
        <v>0.14499999999999999</v>
      </c>
      <c r="E60">
        <v>0.104</v>
      </c>
      <c r="F60">
        <v>0</v>
      </c>
      <c r="G60">
        <v>1.2999999999999999E-2</v>
      </c>
      <c r="H60">
        <v>0</v>
      </c>
      <c r="I60">
        <v>1E-3</v>
      </c>
      <c r="J60">
        <v>0</v>
      </c>
      <c r="K60">
        <v>0</v>
      </c>
      <c r="L60">
        <v>8.0000000000000002E-3</v>
      </c>
      <c r="M60">
        <v>0.16</v>
      </c>
      <c r="N60">
        <v>3.5999999999999997E-2</v>
      </c>
      <c r="O60">
        <v>2.1999999999999999E-2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2.238</v>
      </c>
      <c r="W60">
        <v>0.17699999999999999</v>
      </c>
      <c r="X60">
        <v>0.16</v>
      </c>
      <c r="Y60">
        <v>0</v>
      </c>
      <c r="Z60">
        <v>0.35599999999999998</v>
      </c>
      <c r="AA60">
        <v>0.25700000000000001</v>
      </c>
      <c r="AB60">
        <v>0</v>
      </c>
    </row>
    <row r="61" spans="1:28" x14ac:dyDescent="0.25">
      <c r="A61" t="s">
        <v>239</v>
      </c>
      <c r="B61">
        <v>19.652000000000001</v>
      </c>
      <c r="C61">
        <v>2.4900000000000002</v>
      </c>
      <c r="D61">
        <v>2.8109999999999999</v>
      </c>
      <c r="E61">
        <v>7.875</v>
      </c>
      <c r="F61">
        <v>4.7830000000000004</v>
      </c>
      <c r="G61">
        <v>9.4E-2</v>
      </c>
      <c r="H61">
        <v>0.13500000000000001</v>
      </c>
      <c r="I61">
        <v>1.0999999999999999E-2</v>
      </c>
      <c r="J61">
        <v>0</v>
      </c>
      <c r="K61">
        <v>0.26800000000000002</v>
      </c>
      <c r="L61">
        <v>0.32200000000000001</v>
      </c>
      <c r="M61">
        <v>3.508</v>
      </c>
      <c r="N61">
        <v>0.40500000000000003</v>
      </c>
      <c r="O61">
        <v>1.988</v>
      </c>
      <c r="P61">
        <v>3.9E-2</v>
      </c>
      <c r="Q61">
        <v>3.1E-2</v>
      </c>
      <c r="R61">
        <v>1.0999999999999999E-2</v>
      </c>
      <c r="S61">
        <v>0.01</v>
      </c>
      <c r="T61">
        <v>0</v>
      </c>
      <c r="U61">
        <v>1E-3</v>
      </c>
      <c r="V61">
        <v>9.2309999999999999</v>
      </c>
      <c r="W61">
        <v>1.714</v>
      </c>
      <c r="X61">
        <v>1.262</v>
      </c>
      <c r="Y61">
        <v>3.3839999999999999</v>
      </c>
      <c r="Z61">
        <v>4.0259999999999998</v>
      </c>
      <c r="AA61">
        <v>94.665000000000006</v>
      </c>
      <c r="AB61">
        <v>66.486000000000004</v>
      </c>
    </row>
    <row r="62" spans="1:28" x14ac:dyDescent="0.25">
      <c r="A62" t="s">
        <v>14</v>
      </c>
      <c r="B62">
        <v>2.452</v>
      </c>
      <c r="C62">
        <v>0.152</v>
      </c>
      <c r="D62">
        <v>8.4000000000000005E-2</v>
      </c>
      <c r="E62">
        <v>5.2999999999999999E-2</v>
      </c>
      <c r="F62">
        <v>0</v>
      </c>
      <c r="G62">
        <v>0.01</v>
      </c>
      <c r="H62">
        <v>4.0000000000000001E-3</v>
      </c>
      <c r="I62">
        <v>1E-3</v>
      </c>
      <c r="J62">
        <v>0</v>
      </c>
      <c r="K62">
        <v>5.0000000000000001E-3</v>
      </c>
      <c r="L62">
        <v>1.6E-2</v>
      </c>
      <c r="M62">
        <v>0.19600000000000001</v>
      </c>
      <c r="N62">
        <v>1.6E-2</v>
      </c>
      <c r="O62">
        <v>0.04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0.26300000000000001</v>
      </c>
      <c r="X62">
        <v>2E-3</v>
      </c>
      <c r="Y62">
        <v>0</v>
      </c>
      <c r="Z62">
        <v>0.34699999999999998</v>
      </c>
      <c r="AA62">
        <v>0.124</v>
      </c>
      <c r="AB62">
        <v>1.3560000000000001</v>
      </c>
    </row>
    <row r="63" spans="1:28" x14ac:dyDescent="0.25">
      <c r="A63" t="s">
        <v>240</v>
      </c>
      <c r="B63">
        <v>7.1230000000000002</v>
      </c>
      <c r="C63">
        <v>0.97399999999999998</v>
      </c>
      <c r="D63">
        <v>0.39700000000000002</v>
      </c>
      <c r="E63">
        <v>0.38100000000000001</v>
      </c>
      <c r="F63">
        <v>0</v>
      </c>
      <c r="G63">
        <v>1.7999999999999999E-2</v>
      </c>
      <c r="H63">
        <v>1.395</v>
      </c>
      <c r="I63">
        <v>1E-3</v>
      </c>
      <c r="J63">
        <v>0</v>
      </c>
      <c r="K63">
        <v>2.5999999999999999E-2</v>
      </c>
      <c r="L63">
        <v>9.5000000000000001E-2</v>
      </c>
      <c r="M63">
        <v>1.2370000000000001</v>
      </c>
      <c r="N63">
        <v>0.437</v>
      </c>
      <c r="O63">
        <v>0.58899999999999997</v>
      </c>
      <c r="P63">
        <v>0</v>
      </c>
      <c r="Q63">
        <v>0</v>
      </c>
      <c r="R63">
        <v>6.5000000000000002E-2</v>
      </c>
      <c r="S63">
        <v>0</v>
      </c>
      <c r="T63">
        <v>0</v>
      </c>
      <c r="U63">
        <v>1E-3</v>
      </c>
      <c r="V63">
        <v>0.68700000000000006</v>
      </c>
      <c r="W63">
        <v>1.3340000000000001</v>
      </c>
      <c r="X63">
        <v>2E-3</v>
      </c>
      <c r="Y63">
        <v>0</v>
      </c>
      <c r="Z63">
        <v>1.1379999999999999</v>
      </c>
      <c r="AA63">
        <v>5.1970000000000001</v>
      </c>
      <c r="AB63">
        <v>0</v>
      </c>
    </row>
    <row r="64" spans="1:28" x14ac:dyDescent="0.25">
      <c r="A64" t="s">
        <v>241</v>
      </c>
      <c r="B64">
        <v>3.0249999999999999</v>
      </c>
      <c r="C64">
        <v>0.71899999999999997</v>
      </c>
      <c r="D64">
        <v>0.16300000000000001</v>
      </c>
      <c r="E64">
        <v>0.13700000000000001</v>
      </c>
      <c r="F64">
        <v>0</v>
      </c>
      <c r="G64">
        <v>0</v>
      </c>
      <c r="H64">
        <v>0.14599999999999999</v>
      </c>
      <c r="I64">
        <v>0</v>
      </c>
      <c r="J64">
        <v>0</v>
      </c>
      <c r="K64">
        <v>6.0000000000000001E-3</v>
      </c>
      <c r="L64">
        <v>4.5999999999999999E-2</v>
      </c>
      <c r="M64">
        <v>0.56799999999999995</v>
      </c>
      <c r="N64">
        <v>0.17599999999999999</v>
      </c>
      <c r="O64">
        <v>0.155</v>
      </c>
      <c r="P64">
        <v>0</v>
      </c>
      <c r="Q64">
        <v>1E-3</v>
      </c>
      <c r="R64">
        <v>4.0000000000000001E-3</v>
      </c>
      <c r="S64">
        <v>0</v>
      </c>
      <c r="T64">
        <v>0</v>
      </c>
      <c r="U64">
        <v>2E-3</v>
      </c>
      <c r="V64">
        <v>0.158</v>
      </c>
      <c r="W64">
        <v>0.627</v>
      </c>
      <c r="X64">
        <v>1.0960000000000001</v>
      </c>
      <c r="Y64">
        <v>2.7090000000000001</v>
      </c>
      <c r="Z64">
        <v>1.4610000000000001</v>
      </c>
      <c r="AA64">
        <v>23.707000000000001</v>
      </c>
      <c r="AB64">
        <v>0</v>
      </c>
    </row>
    <row r="65" spans="1:28" x14ac:dyDescent="0.25">
      <c r="A65" t="s">
        <v>242</v>
      </c>
      <c r="B65">
        <v>5.4269999999999996</v>
      </c>
      <c r="C65">
        <v>0.36699999999999999</v>
      </c>
      <c r="D65">
        <v>6.8000000000000005E-2</v>
      </c>
      <c r="E65">
        <v>7.8E-2</v>
      </c>
      <c r="F65">
        <v>0</v>
      </c>
      <c r="G65">
        <v>3.0000000000000001E-3</v>
      </c>
      <c r="H65">
        <v>0</v>
      </c>
      <c r="I65">
        <v>0</v>
      </c>
      <c r="J65">
        <v>0</v>
      </c>
      <c r="K65">
        <v>1E-3</v>
      </c>
      <c r="L65">
        <v>0.04</v>
      </c>
      <c r="M65">
        <v>0.32</v>
      </c>
      <c r="N65">
        <v>3.7999999999999999E-2</v>
      </c>
      <c r="O65">
        <v>4.7E-2</v>
      </c>
      <c r="P65">
        <v>0</v>
      </c>
      <c r="Q65">
        <v>2E-3</v>
      </c>
      <c r="R65">
        <v>0</v>
      </c>
      <c r="S65">
        <v>0</v>
      </c>
      <c r="T65">
        <v>0</v>
      </c>
      <c r="U65">
        <v>0</v>
      </c>
      <c r="V65">
        <v>0.254</v>
      </c>
      <c r="W65">
        <v>0.25600000000000001</v>
      </c>
      <c r="X65">
        <v>0</v>
      </c>
      <c r="Y65">
        <v>0</v>
      </c>
      <c r="Z65">
        <v>0.6</v>
      </c>
      <c r="AA65">
        <v>1.617</v>
      </c>
      <c r="AB65">
        <v>0.05</v>
      </c>
    </row>
    <row r="66" spans="1:28" x14ac:dyDescent="0.25">
      <c r="A66" t="s">
        <v>243</v>
      </c>
      <c r="B66">
        <v>0.999</v>
      </c>
      <c r="C66">
        <v>7.9000000000000001E-2</v>
      </c>
      <c r="D66">
        <v>3.1E-2</v>
      </c>
      <c r="E66">
        <v>3.0000000000000001E-3</v>
      </c>
      <c r="F66">
        <v>0</v>
      </c>
      <c r="G66">
        <v>0</v>
      </c>
      <c r="H66">
        <v>2E-3</v>
      </c>
      <c r="I66">
        <v>0</v>
      </c>
      <c r="J66">
        <v>0</v>
      </c>
      <c r="K66">
        <v>6.0000000000000001E-3</v>
      </c>
      <c r="L66">
        <v>3.0000000000000001E-3</v>
      </c>
      <c r="M66">
        <v>8.7999999999999995E-2</v>
      </c>
      <c r="N66">
        <v>7.0000000000000001E-3</v>
      </c>
      <c r="O66">
        <v>6.0000000000000001E-3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1.4999999999999999E-2</v>
      </c>
      <c r="X66">
        <v>0</v>
      </c>
      <c r="Y66">
        <v>0</v>
      </c>
      <c r="Z66">
        <v>3.5000000000000003E-2</v>
      </c>
      <c r="AA66">
        <v>0</v>
      </c>
      <c r="AB66">
        <v>0</v>
      </c>
    </row>
    <row r="67" spans="1:28" x14ac:dyDescent="0.25">
      <c r="A67" t="s">
        <v>244</v>
      </c>
      <c r="B67">
        <v>0.81599999999999995</v>
      </c>
      <c r="C67">
        <v>0.17499999999999999</v>
      </c>
      <c r="D67">
        <v>0.182</v>
      </c>
      <c r="E67">
        <v>0.4</v>
      </c>
      <c r="F67">
        <v>0.01</v>
      </c>
      <c r="G67">
        <v>6.3E-2</v>
      </c>
      <c r="H67">
        <v>0</v>
      </c>
      <c r="I67">
        <v>0</v>
      </c>
      <c r="J67">
        <v>0</v>
      </c>
      <c r="K67">
        <v>0</v>
      </c>
      <c r="L67">
        <v>0.02</v>
      </c>
      <c r="M67">
        <v>0.27600000000000002</v>
      </c>
      <c r="N67">
        <v>4.8000000000000001E-2</v>
      </c>
      <c r="O67">
        <v>0.14599999999999999</v>
      </c>
      <c r="P67">
        <v>8.0000000000000002E-3</v>
      </c>
      <c r="Q67">
        <v>2E-3</v>
      </c>
      <c r="R67">
        <v>0</v>
      </c>
      <c r="S67">
        <v>0</v>
      </c>
      <c r="T67">
        <v>0</v>
      </c>
      <c r="U67">
        <v>0</v>
      </c>
      <c r="V67">
        <v>0.372</v>
      </c>
      <c r="W67">
        <v>0.13800000000000001</v>
      </c>
      <c r="X67">
        <v>0</v>
      </c>
      <c r="Y67">
        <v>0</v>
      </c>
      <c r="Z67">
        <v>0.63600000000000001</v>
      </c>
      <c r="AA67">
        <v>9.3000000000000007</v>
      </c>
      <c r="AB67">
        <v>0</v>
      </c>
    </row>
    <row r="68" spans="1:28" x14ac:dyDescent="0.25">
      <c r="A68" t="s">
        <v>245</v>
      </c>
      <c r="B68">
        <v>0.65700000000000003</v>
      </c>
      <c r="C68">
        <v>0.17199999999999999</v>
      </c>
      <c r="D68">
        <v>6.0000000000000001E-3</v>
      </c>
      <c r="E68">
        <v>2E-3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4.0000000000000001E-3</v>
      </c>
      <c r="M68">
        <v>0.155</v>
      </c>
      <c r="N68">
        <v>1.0999999999999999E-2</v>
      </c>
      <c r="O68">
        <v>1.2999999999999999E-2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0.39100000000000001</v>
      </c>
      <c r="W68">
        <v>0.15</v>
      </c>
      <c r="X68">
        <v>0</v>
      </c>
      <c r="Y68">
        <v>0</v>
      </c>
      <c r="Z68">
        <v>0.12</v>
      </c>
      <c r="AA68">
        <v>4.5999999999999999E-2</v>
      </c>
      <c r="AB68">
        <v>0</v>
      </c>
    </row>
    <row r="69" spans="1:28" x14ac:dyDescent="0.25">
      <c r="A69" t="s">
        <v>246</v>
      </c>
      <c r="B69">
        <v>3.3170000000000002</v>
      </c>
      <c r="C69">
        <v>0.307</v>
      </c>
      <c r="D69">
        <v>0.64400000000000002</v>
      </c>
      <c r="E69">
        <v>1.53</v>
      </c>
      <c r="F69">
        <v>0</v>
      </c>
      <c r="G69">
        <v>0.71499999999999997</v>
      </c>
      <c r="H69">
        <v>1.6080000000000001</v>
      </c>
      <c r="I69">
        <v>8.7999999999999995E-2</v>
      </c>
      <c r="J69">
        <v>0</v>
      </c>
      <c r="K69">
        <v>0.02</v>
      </c>
      <c r="L69">
        <v>5.2999999999999999E-2</v>
      </c>
      <c r="M69">
        <v>1.202</v>
      </c>
      <c r="N69">
        <v>0.253</v>
      </c>
      <c r="O69">
        <v>1.085</v>
      </c>
      <c r="P69">
        <v>0</v>
      </c>
      <c r="Q69">
        <v>3.5999999999999997E-2</v>
      </c>
      <c r="R69">
        <v>7.3999999999999996E-2</v>
      </c>
      <c r="S69">
        <v>3.0000000000000001E-3</v>
      </c>
      <c r="T69">
        <v>0</v>
      </c>
      <c r="U69">
        <v>4.0000000000000001E-3</v>
      </c>
      <c r="V69">
        <v>0.114</v>
      </c>
      <c r="W69">
        <v>0.42099999999999999</v>
      </c>
      <c r="X69">
        <v>1.2999999999999999E-2</v>
      </c>
      <c r="Y69">
        <v>0.84</v>
      </c>
      <c r="Z69">
        <v>1.3340000000000001</v>
      </c>
      <c r="AA69">
        <v>29.591000000000001</v>
      </c>
      <c r="AB69">
        <v>0.05</v>
      </c>
    </row>
    <row r="70" spans="1:28" x14ac:dyDescent="0.25">
      <c r="A70" t="s">
        <v>15</v>
      </c>
      <c r="B70">
        <v>20.117999999999999</v>
      </c>
      <c r="C70">
        <v>1.744</v>
      </c>
      <c r="D70">
        <v>0.61799999999999999</v>
      </c>
      <c r="E70">
        <v>0.78300000000000003</v>
      </c>
      <c r="F70">
        <v>0</v>
      </c>
      <c r="G70">
        <v>2.1999999999999999E-2</v>
      </c>
      <c r="H70">
        <v>0.01</v>
      </c>
      <c r="I70">
        <v>2E-3</v>
      </c>
      <c r="J70">
        <v>0</v>
      </c>
      <c r="K70">
        <v>2.1000000000000001E-2</v>
      </c>
      <c r="L70">
        <v>0.13300000000000001</v>
      </c>
      <c r="M70">
        <v>0.89900000000000002</v>
      </c>
      <c r="N70">
        <v>0.11799999999999999</v>
      </c>
      <c r="O70">
        <v>0.16800000000000001</v>
      </c>
      <c r="P70">
        <v>0</v>
      </c>
      <c r="Q70">
        <v>1E-3</v>
      </c>
      <c r="R70">
        <v>1E-3</v>
      </c>
      <c r="S70">
        <v>0</v>
      </c>
      <c r="T70">
        <v>0</v>
      </c>
      <c r="U70">
        <v>3.0000000000000001E-3</v>
      </c>
      <c r="V70">
        <v>1.5549999999999999</v>
      </c>
      <c r="W70">
        <v>1.4890000000000001</v>
      </c>
      <c r="X70">
        <v>7.0000000000000001E-3</v>
      </c>
      <c r="Y70">
        <v>2.9249999999999998</v>
      </c>
      <c r="Z70">
        <v>2.1240000000000001</v>
      </c>
      <c r="AA70">
        <v>82.49</v>
      </c>
      <c r="AB70">
        <v>344.2</v>
      </c>
    </row>
    <row r="71" spans="1:28" x14ac:dyDescent="0.25">
      <c r="A71" t="s">
        <v>247</v>
      </c>
      <c r="B71">
        <v>7.758</v>
      </c>
      <c r="C71">
        <v>1.5449999999999999</v>
      </c>
      <c r="D71">
        <v>1.4219999999999999</v>
      </c>
      <c r="E71">
        <v>1.212</v>
      </c>
      <c r="F71">
        <v>0</v>
      </c>
      <c r="G71">
        <v>5.8999999999999997E-2</v>
      </c>
      <c r="H71">
        <v>3.0000000000000001E-3</v>
      </c>
      <c r="I71">
        <v>8.9999999999999993E-3</v>
      </c>
      <c r="J71">
        <v>0</v>
      </c>
      <c r="K71">
        <v>1.4E-2</v>
      </c>
      <c r="L71">
        <v>0.114</v>
      </c>
      <c r="M71">
        <v>1.1000000000000001</v>
      </c>
      <c r="N71">
        <v>0.315</v>
      </c>
      <c r="O71">
        <v>0.24</v>
      </c>
      <c r="P71">
        <v>0</v>
      </c>
      <c r="Q71">
        <v>7.0000000000000001E-3</v>
      </c>
      <c r="R71">
        <v>0</v>
      </c>
      <c r="S71">
        <v>0</v>
      </c>
      <c r="T71">
        <v>0</v>
      </c>
      <c r="U71">
        <v>0</v>
      </c>
      <c r="V71">
        <v>1.696</v>
      </c>
      <c r="W71">
        <v>1.385</v>
      </c>
      <c r="X71">
        <v>0.88100000000000001</v>
      </c>
      <c r="Y71">
        <v>3.008</v>
      </c>
      <c r="Z71">
        <v>2.1619999999999999</v>
      </c>
      <c r="AA71">
        <v>188.46299999999999</v>
      </c>
      <c r="AB71">
        <v>31.670999999999999</v>
      </c>
    </row>
    <row r="72" spans="1:28" x14ac:dyDescent="0.25">
      <c r="A72" t="s">
        <v>248</v>
      </c>
      <c r="B72">
        <v>9.8930000000000007</v>
      </c>
      <c r="C72">
        <v>1.4470000000000001</v>
      </c>
      <c r="D72">
        <v>0.45600000000000002</v>
      </c>
      <c r="E72">
        <v>0.29699999999999999</v>
      </c>
      <c r="F72">
        <v>0</v>
      </c>
      <c r="G72">
        <v>2.8000000000000001E-2</v>
      </c>
      <c r="H72">
        <v>3.0000000000000001E-3</v>
      </c>
      <c r="I72">
        <v>0.01</v>
      </c>
      <c r="J72">
        <v>0</v>
      </c>
      <c r="K72">
        <v>5.0000000000000001E-3</v>
      </c>
      <c r="L72">
        <v>8.4000000000000005E-2</v>
      </c>
      <c r="M72">
        <v>0.53800000000000003</v>
      </c>
      <c r="N72">
        <v>8.1000000000000003E-2</v>
      </c>
      <c r="O72">
        <v>7.6999999999999999E-2</v>
      </c>
      <c r="P72">
        <v>0</v>
      </c>
      <c r="Q72">
        <v>0</v>
      </c>
      <c r="R72">
        <v>0</v>
      </c>
      <c r="S72">
        <v>2E-3</v>
      </c>
      <c r="T72">
        <v>0</v>
      </c>
      <c r="U72">
        <v>0</v>
      </c>
      <c r="V72">
        <v>3.4169999999999998</v>
      </c>
      <c r="W72">
        <v>0.90900000000000003</v>
      </c>
      <c r="X72">
        <v>0.41</v>
      </c>
      <c r="Y72">
        <v>3.86</v>
      </c>
      <c r="Z72">
        <v>1.1599999999999999</v>
      </c>
      <c r="AA72">
        <v>0.16</v>
      </c>
      <c r="AB72">
        <v>0</v>
      </c>
    </row>
    <row r="73" spans="1:28" x14ac:dyDescent="0.25">
      <c r="A73" t="s">
        <v>249</v>
      </c>
      <c r="B73">
        <v>34.950000000000003</v>
      </c>
      <c r="C73">
        <v>6.0810000000000004</v>
      </c>
      <c r="D73">
        <v>2.101</v>
      </c>
      <c r="E73">
        <v>1.8380000000000001</v>
      </c>
      <c r="F73">
        <v>0</v>
      </c>
      <c r="G73">
        <v>0.13500000000000001</v>
      </c>
      <c r="H73">
        <v>9.0999999999999998E-2</v>
      </c>
      <c r="I73">
        <v>1.0999999999999999E-2</v>
      </c>
      <c r="J73">
        <v>0</v>
      </c>
      <c r="K73">
        <v>0.121</v>
      </c>
      <c r="L73">
        <v>0.32600000000000001</v>
      </c>
      <c r="M73">
        <v>3.5619999999999998</v>
      </c>
      <c r="N73">
        <v>0.40500000000000003</v>
      </c>
      <c r="O73">
        <v>0.72499999999999998</v>
      </c>
      <c r="P73">
        <v>0</v>
      </c>
      <c r="Q73">
        <v>7.0000000000000001E-3</v>
      </c>
      <c r="R73">
        <v>4.0000000000000001E-3</v>
      </c>
      <c r="S73">
        <v>1E-3</v>
      </c>
      <c r="T73">
        <v>0</v>
      </c>
      <c r="U73">
        <v>0</v>
      </c>
      <c r="V73">
        <v>7.5010000000000003</v>
      </c>
      <c r="W73">
        <v>4.9089999999999998</v>
      </c>
      <c r="X73">
        <v>1.883</v>
      </c>
      <c r="Y73">
        <v>9.7330000000000005</v>
      </c>
      <c r="Z73">
        <v>8.35</v>
      </c>
      <c r="AA73">
        <v>179.286</v>
      </c>
      <c r="AB73">
        <v>175.518</v>
      </c>
    </row>
    <row r="74" spans="1:28" x14ac:dyDescent="0.25">
      <c r="A74" t="s">
        <v>250</v>
      </c>
      <c r="B74">
        <v>32.723999999999997</v>
      </c>
      <c r="C74">
        <v>7.13</v>
      </c>
      <c r="D74">
        <v>0.97099999999999997</v>
      </c>
      <c r="E74">
        <v>1.5</v>
      </c>
      <c r="F74">
        <v>0</v>
      </c>
      <c r="G74">
        <v>3.7999999999999999E-2</v>
      </c>
      <c r="H74">
        <v>0</v>
      </c>
      <c r="I74">
        <v>0</v>
      </c>
      <c r="J74">
        <v>0</v>
      </c>
      <c r="K74">
        <v>0.10100000000000001</v>
      </c>
      <c r="L74">
        <v>0.377</v>
      </c>
      <c r="M74">
        <v>3.3069999999999999</v>
      </c>
      <c r="N74">
        <v>0.38100000000000001</v>
      </c>
      <c r="O74">
        <v>0.378</v>
      </c>
      <c r="P74">
        <v>0</v>
      </c>
      <c r="Q74">
        <v>2E-3</v>
      </c>
      <c r="R74">
        <v>0</v>
      </c>
      <c r="S74">
        <v>0</v>
      </c>
      <c r="T74">
        <v>0</v>
      </c>
      <c r="U74">
        <v>8.9999999999999993E-3</v>
      </c>
      <c r="V74">
        <v>6.3840000000000003</v>
      </c>
      <c r="W74">
        <v>7.133</v>
      </c>
      <c r="X74">
        <v>2.6640000000000001</v>
      </c>
      <c r="Y74">
        <v>25.664000000000001</v>
      </c>
      <c r="Z74">
        <v>4.4669999999999996</v>
      </c>
      <c r="AA74">
        <v>1.08</v>
      </c>
      <c r="AB74">
        <v>23.885000000000002</v>
      </c>
    </row>
    <row r="75" spans="1:28" x14ac:dyDescent="0.25">
      <c r="A75" t="s">
        <v>16</v>
      </c>
      <c r="B75">
        <v>347.262</v>
      </c>
      <c r="C75">
        <v>13.33</v>
      </c>
      <c r="D75">
        <v>5.9269999999999996</v>
      </c>
      <c r="E75">
        <v>6.5970000000000004</v>
      </c>
      <c r="F75">
        <v>0</v>
      </c>
      <c r="G75">
        <v>0.40899999999999997</v>
      </c>
      <c r="H75">
        <v>5.8000000000000003E-2</v>
      </c>
      <c r="I75">
        <v>0.218</v>
      </c>
      <c r="J75">
        <v>0</v>
      </c>
      <c r="K75">
        <v>0.376</v>
      </c>
      <c r="L75">
        <v>1.2430000000000001</v>
      </c>
      <c r="M75">
        <v>8.9710000000000001</v>
      </c>
      <c r="N75">
        <v>1.651</v>
      </c>
      <c r="O75">
        <v>2.4350000000000001</v>
      </c>
      <c r="P75">
        <v>0</v>
      </c>
      <c r="Q75">
        <v>4.3999999999999997E-2</v>
      </c>
      <c r="R75">
        <v>4.0000000000000001E-3</v>
      </c>
      <c r="S75">
        <v>3.0000000000000001E-3</v>
      </c>
      <c r="T75">
        <v>0</v>
      </c>
      <c r="U75">
        <v>1.0999999999999999E-2</v>
      </c>
      <c r="V75">
        <v>12.858000000000001</v>
      </c>
      <c r="W75">
        <v>10.683999999999999</v>
      </c>
      <c r="X75">
        <v>16.882000000000001</v>
      </c>
      <c r="Y75">
        <v>98.176000000000002</v>
      </c>
      <c r="Z75">
        <v>18.337</v>
      </c>
      <c r="AA75">
        <v>861.63699999999994</v>
      </c>
      <c r="AB75">
        <v>1186.154</v>
      </c>
    </row>
    <row r="76" spans="1:28" x14ac:dyDescent="0.25">
      <c r="A76" t="s">
        <v>251</v>
      </c>
      <c r="B76">
        <v>9.1140000000000008</v>
      </c>
      <c r="C76">
        <v>0.219</v>
      </c>
      <c r="D76">
        <v>7.9000000000000001E-2</v>
      </c>
      <c r="E76">
        <v>7.3999999999999996E-2</v>
      </c>
      <c r="F76">
        <v>0</v>
      </c>
      <c r="G76">
        <v>1E-3</v>
      </c>
      <c r="H76">
        <v>2E-3</v>
      </c>
      <c r="I76">
        <v>1E-3</v>
      </c>
      <c r="J76">
        <v>0</v>
      </c>
      <c r="K76">
        <v>0</v>
      </c>
      <c r="L76">
        <v>6.0000000000000001E-3</v>
      </c>
      <c r="M76">
        <v>0.19400000000000001</v>
      </c>
      <c r="N76">
        <v>2.8000000000000001E-2</v>
      </c>
      <c r="O76">
        <v>1.2E-2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0.69099999999999995</v>
      </c>
      <c r="W76">
        <v>0.54800000000000004</v>
      </c>
      <c r="X76">
        <v>0.06</v>
      </c>
      <c r="Y76">
        <v>5.3949999999999996</v>
      </c>
      <c r="Z76">
        <v>0.52500000000000002</v>
      </c>
      <c r="AA76">
        <v>2.1000000000000001E-2</v>
      </c>
      <c r="AB76">
        <v>0</v>
      </c>
    </row>
    <row r="77" spans="1:28" x14ac:dyDescent="0.25">
      <c r="A77" t="s">
        <v>17</v>
      </c>
      <c r="B77">
        <v>133.06700000000001</v>
      </c>
      <c r="C77">
        <v>6.6219999999999999</v>
      </c>
      <c r="D77">
        <v>4.3490000000000002</v>
      </c>
      <c r="E77">
        <v>3.67</v>
      </c>
      <c r="F77">
        <v>0</v>
      </c>
      <c r="G77">
        <v>0.38500000000000001</v>
      </c>
      <c r="H77">
        <v>2.1000000000000001E-2</v>
      </c>
      <c r="I77">
        <v>6.7000000000000004E-2</v>
      </c>
      <c r="J77">
        <v>0</v>
      </c>
      <c r="K77">
        <v>0.252</v>
      </c>
      <c r="L77">
        <v>0.32500000000000001</v>
      </c>
      <c r="M77">
        <v>3.1989999999999998</v>
      </c>
      <c r="N77">
        <v>0.66</v>
      </c>
      <c r="O77">
        <v>0.64800000000000002</v>
      </c>
      <c r="P77">
        <v>0</v>
      </c>
      <c r="Q77">
        <v>3.2000000000000001E-2</v>
      </c>
      <c r="R77">
        <v>4.0000000000000001E-3</v>
      </c>
      <c r="S77">
        <v>8.0000000000000002E-3</v>
      </c>
      <c r="T77">
        <v>0</v>
      </c>
      <c r="U77">
        <v>5.0000000000000001E-3</v>
      </c>
      <c r="V77">
        <v>9.7899999999999991</v>
      </c>
      <c r="W77">
        <v>5.64</v>
      </c>
      <c r="X77">
        <v>6.3360000000000003</v>
      </c>
      <c r="Y77">
        <v>52.81</v>
      </c>
      <c r="Z77">
        <v>5.524</v>
      </c>
      <c r="AA77">
        <v>1549.45</v>
      </c>
      <c r="AB77">
        <v>395.1</v>
      </c>
    </row>
    <row r="78" spans="1:28" x14ac:dyDescent="0.25">
      <c r="A78" t="s">
        <v>60</v>
      </c>
      <c r="B78">
        <v>200.26499999999999</v>
      </c>
      <c r="C78">
        <v>6.0549999999999997</v>
      </c>
      <c r="D78">
        <v>2.8410000000000002</v>
      </c>
      <c r="E78">
        <v>2.06</v>
      </c>
      <c r="F78">
        <v>0</v>
      </c>
      <c r="G78">
        <v>0.22</v>
      </c>
      <c r="H78">
        <v>0.01</v>
      </c>
      <c r="I78">
        <v>0.126</v>
      </c>
      <c r="J78">
        <v>0</v>
      </c>
      <c r="K78">
        <v>0.255</v>
      </c>
      <c r="L78">
        <v>0.35499999999999998</v>
      </c>
      <c r="M78">
        <v>3.4129999999999998</v>
      </c>
      <c r="N78">
        <v>0.54300000000000004</v>
      </c>
      <c r="O78">
        <v>0.42699999999999999</v>
      </c>
      <c r="P78">
        <v>0</v>
      </c>
      <c r="Q78">
        <v>0.01</v>
      </c>
      <c r="R78">
        <v>1E-3</v>
      </c>
      <c r="S78">
        <v>0.01</v>
      </c>
      <c r="T78">
        <v>0</v>
      </c>
      <c r="U78">
        <v>3.0000000000000001E-3</v>
      </c>
      <c r="V78">
        <v>12.816000000000001</v>
      </c>
      <c r="W78">
        <v>6.851</v>
      </c>
      <c r="X78">
        <v>20.042000000000002</v>
      </c>
      <c r="Y78">
        <v>134.773</v>
      </c>
      <c r="Z78">
        <v>7.6619999999999999</v>
      </c>
      <c r="AA78">
        <v>422.589</v>
      </c>
      <c r="AB78">
        <v>1250.962</v>
      </c>
    </row>
    <row r="79" spans="1:28" x14ac:dyDescent="0.25">
      <c r="A79" t="s">
        <v>18</v>
      </c>
      <c r="B79">
        <v>125.88</v>
      </c>
      <c r="C79">
        <v>9.2129999999999992</v>
      </c>
      <c r="D79">
        <v>4.4429999999999996</v>
      </c>
      <c r="E79">
        <v>9.3810000000000002</v>
      </c>
      <c r="F79">
        <v>16.286000000000001</v>
      </c>
      <c r="G79">
        <v>2.0920000000000001</v>
      </c>
      <c r="H79">
        <v>7.5999999999999998E-2</v>
      </c>
      <c r="I79">
        <v>0.17399999999999999</v>
      </c>
      <c r="J79">
        <v>0</v>
      </c>
      <c r="K79">
        <v>0.38500000000000001</v>
      </c>
      <c r="L79">
        <v>0.81499999999999995</v>
      </c>
      <c r="M79">
        <v>8.4169999999999998</v>
      </c>
      <c r="N79">
        <v>2.2549999999999999</v>
      </c>
      <c r="O79">
        <v>4.7610000000000001</v>
      </c>
      <c r="P79">
        <v>4.1000000000000002E-2</v>
      </c>
      <c r="Q79">
        <v>5.7000000000000002E-2</v>
      </c>
      <c r="R79">
        <v>4.0000000000000001E-3</v>
      </c>
      <c r="S79">
        <v>7.0000000000000001E-3</v>
      </c>
      <c r="T79">
        <v>0</v>
      </c>
      <c r="U79">
        <v>0.01</v>
      </c>
      <c r="V79">
        <v>22.044</v>
      </c>
      <c r="W79">
        <v>9.2140000000000004</v>
      </c>
      <c r="X79">
        <v>7.6349999999999998</v>
      </c>
      <c r="Y79">
        <v>68.751000000000005</v>
      </c>
      <c r="Z79">
        <v>20.324999999999999</v>
      </c>
      <c r="AA79">
        <v>1606.9690000000001</v>
      </c>
      <c r="AB79">
        <v>3093.252</v>
      </c>
    </row>
    <row r="80" spans="1:28" x14ac:dyDescent="0.25">
      <c r="A80" t="s">
        <v>59</v>
      </c>
      <c r="B80">
        <v>132.608</v>
      </c>
      <c r="C80">
        <v>15.039</v>
      </c>
      <c r="D80">
        <v>3.5419999999999998</v>
      </c>
      <c r="E80">
        <v>4.2610000000000001</v>
      </c>
      <c r="F80">
        <v>0</v>
      </c>
      <c r="G80">
        <v>2E-3</v>
      </c>
      <c r="H80">
        <v>1.4999999999999999E-2</v>
      </c>
      <c r="I80">
        <v>6.0000000000000001E-3</v>
      </c>
      <c r="J80">
        <v>0</v>
      </c>
      <c r="K80">
        <v>0.82699999999999996</v>
      </c>
      <c r="L80">
        <v>0.91700000000000004</v>
      </c>
      <c r="M80">
        <v>4.492</v>
      </c>
      <c r="N80">
        <v>0.53500000000000003</v>
      </c>
      <c r="O80">
        <v>0.877</v>
      </c>
      <c r="P80">
        <v>0</v>
      </c>
      <c r="Q80">
        <v>0</v>
      </c>
      <c r="R80">
        <v>0</v>
      </c>
      <c r="S80">
        <v>0</v>
      </c>
      <c r="T80">
        <v>0</v>
      </c>
      <c r="U80">
        <v>1E-3</v>
      </c>
      <c r="V80">
        <v>18.251999999999999</v>
      </c>
      <c r="W80">
        <v>14.465999999999999</v>
      </c>
      <c r="X80">
        <v>11.411</v>
      </c>
      <c r="Y80">
        <v>107.6</v>
      </c>
      <c r="Z80">
        <v>13.35</v>
      </c>
      <c r="AA80">
        <v>161.261</v>
      </c>
      <c r="AB80">
        <v>567.61400000000003</v>
      </c>
    </row>
    <row r="81" spans="1:28" x14ac:dyDescent="0.25">
      <c r="A81" t="s">
        <v>19</v>
      </c>
      <c r="B81">
        <v>70.66</v>
      </c>
      <c r="C81">
        <v>3.2610000000000001</v>
      </c>
      <c r="D81">
        <v>0.72599999999999998</v>
      </c>
      <c r="E81">
        <v>0.73699999999999999</v>
      </c>
      <c r="F81">
        <v>0</v>
      </c>
      <c r="G81">
        <v>0</v>
      </c>
      <c r="H81">
        <v>2.7E-2</v>
      </c>
      <c r="I81">
        <v>1E-3</v>
      </c>
      <c r="J81">
        <v>0</v>
      </c>
      <c r="K81">
        <v>3.0000000000000001E-3</v>
      </c>
      <c r="L81">
        <v>6.2E-2</v>
      </c>
      <c r="M81">
        <v>1.74</v>
      </c>
      <c r="N81">
        <v>0.17299999999999999</v>
      </c>
      <c r="O81">
        <v>0.221</v>
      </c>
      <c r="P81">
        <v>0</v>
      </c>
      <c r="Q81">
        <v>0</v>
      </c>
      <c r="R81">
        <v>1E-3</v>
      </c>
      <c r="S81">
        <v>0</v>
      </c>
      <c r="T81">
        <v>0</v>
      </c>
      <c r="U81">
        <v>0</v>
      </c>
      <c r="V81">
        <v>17.818999999999999</v>
      </c>
      <c r="W81">
        <v>2.8580000000000001</v>
      </c>
      <c r="X81">
        <v>9.9749999999999996</v>
      </c>
      <c r="Y81">
        <v>77.378</v>
      </c>
      <c r="Z81">
        <v>5.1970000000000001</v>
      </c>
      <c r="AA81">
        <v>793.745</v>
      </c>
      <c r="AB81">
        <v>104.9</v>
      </c>
    </row>
    <row r="82" spans="1:28" x14ac:dyDescent="0.25">
      <c r="A82" t="s">
        <v>252</v>
      </c>
      <c r="B82">
        <v>249.35499999999999</v>
      </c>
      <c r="C82">
        <v>6.9470000000000001</v>
      </c>
      <c r="D82">
        <v>1.708</v>
      </c>
      <c r="E82">
        <v>2.3929999999999998</v>
      </c>
      <c r="F82">
        <v>0</v>
      </c>
      <c r="G82">
        <v>1.2E-2</v>
      </c>
      <c r="H82">
        <v>3.0000000000000001E-3</v>
      </c>
      <c r="I82">
        <v>1.4E-2</v>
      </c>
      <c r="J82">
        <v>0</v>
      </c>
      <c r="K82">
        <v>0.51800000000000002</v>
      </c>
      <c r="L82">
        <v>0.44900000000000001</v>
      </c>
      <c r="M82">
        <v>2.9849999999999999</v>
      </c>
      <c r="N82">
        <v>0.745</v>
      </c>
      <c r="O82">
        <v>0.76700000000000002</v>
      </c>
      <c r="P82">
        <v>0</v>
      </c>
      <c r="Q82">
        <v>0</v>
      </c>
      <c r="R82">
        <v>0</v>
      </c>
      <c r="S82">
        <v>0</v>
      </c>
      <c r="T82">
        <v>0</v>
      </c>
      <c r="U82">
        <v>5.0000000000000001E-3</v>
      </c>
      <c r="V82">
        <v>6.2519999999999998</v>
      </c>
      <c r="W82">
        <v>8.1210000000000004</v>
      </c>
      <c r="X82">
        <v>27.355</v>
      </c>
      <c r="Y82">
        <v>111.678</v>
      </c>
      <c r="Z82">
        <v>7.8789999999999996</v>
      </c>
      <c r="AA82">
        <v>890.44500000000005</v>
      </c>
      <c r="AB82">
        <v>851.947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AA73-608A-47C5-BDC1-A448A6C42A89}">
  <dimension ref="A1:D346"/>
  <sheetViews>
    <sheetView workbookViewId="0">
      <selection activeCell="D32" sqref="D32"/>
    </sheetView>
  </sheetViews>
  <sheetFormatPr defaultRowHeight="15" x14ac:dyDescent="0.25"/>
  <cols>
    <col min="1" max="1" width="7.28515625" customWidth="1"/>
    <col min="2" max="2" width="14.140625" customWidth="1"/>
    <col min="3" max="3" width="9.85546875" customWidth="1"/>
    <col min="4" max="4" width="9.140625" customWidth="1"/>
    <col min="5" max="13" width="7.28515625" customWidth="1"/>
  </cols>
  <sheetData>
    <row r="1" spans="1:4" x14ac:dyDescent="0.25">
      <c r="A1" t="s">
        <v>146</v>
      </c>
      <c r="B1" t="s">
        <v>263</v>
      </c>
      <c r="C1" t="s">
        <v>346</v>
      </c>
      <c r="D1" t="s">
        <v>345</v>
      </c>
    </row>
    <row r="2" spans="1:4" x14ac:dyDescent="0.25">
      <c r="A2" t="s">
        <v>151</v>
      </c>
      <c r="B2" t="s">
        <v>424</v>
      </c>
      <c r="C2" t="s">
        <v>264</v>
      </c>
      <c r="D2">
        <v>30</v>
      </c>
    </row>
    <row r="3" spans="1:4" x14ac:dyDescent="0.25">
      <c r="A3" t="s">
        <v>151</v>
      </c>
      <c r="B3" t="s">
        <v>424</v>
      </c>
      <c r="C3" t="s">
        <v>265</v>
      </c>
    </row>
    <row r="4" spans="1:4" x14ac:dyDescent="0.25">
      <c r="A4" t="s">
        <v>151</v>
      </c>
      <c r="B4" t="s">
        <v>424</v>
      </c>
      <c r="C4" t="s">
        <v>266</v>
      </c>
    </row>
    <row r="5" spans="1:4" x14ac:dyDescent="0.25">
      <c r="A5" t="s">
        <v>151</v>
      </c>
      <c r="B5" t="s">
        <v>424</v>
      </c>
      <c r="C5" t="s">
        <v>145</v>
      </c>
    </row>
    <row r="6" spans="1:4" x14ac:dyDescent="0.25">
      <c r="A6" t="s">
        <v>151</v>
      </c>
      <c r="B6" t="s">
        <v>424</v>
      </c>
      <c r="C6" t="s">
        <v>132</v>
      </c>
      <c r="D6">
        <v>0</v>
      </c>
    </row>
    <row r="7" spans="1:4" x14ac:dyDescent="0.25">
      <c r="A7" t="s">
        <v>152</v>
      </c>
      <c r="B7" t="s">
        <v>424</v>
      </c>
      <c r="C7" t="s">
        <v>264</v>
      </c>
      <c r="D7">
        <v>30</v>
      </c>
    </row>
    <row r="8" spans="1:4" x14ac:dyDescent="0.25">
      <c r="A8" t="s">
        <v>152</v>
      </c>
      <c r="B8" t="s">
        <v>424</v>
      </c>
      <c r="C8" t="s">
        <v>265</v>
      </c>
    </row>
    <row r="9" spans="1:4" x14ac:dyDescent="0.25">
      <c r="A9" t="s">
        <v>152</v>
      </c>
      <c r="B9" t="s">
        <v>424</v>
      </c>
      <c r="C9" t="s">
        <v>266</v>
      </c>
    </row>
    <row r="10" spans="1:4" x14ac:dyDescent="0.25">
      <c r="A10" t="s">
        <v>152</v>
      </c>
      <c r="B10" t="s">
        <v>424</v>
      </c>
      <c r="C10" t="s">
        <v>145</v>
      </c>
    </row>
    <row r="11" spans="1:4" x14ac:dyDescent="0.25">
      <c r="A11" t="s">
        <v>152</v>
      </c>
      <c r="B11" t="s">
        <v>424</v>
      </c>
      <c r="C11" t="s">
        <v>132</v>
      </c>
      <c r="D11">
        <v>0</v>
      </c>
    </row>
    <row r="12" spans="1:4" x14ac:dyDescent="0.25">
      <c r="A12" t="s">
        <v>153</v>
      </c>
      <c r="B12" t="s">
        <v>424</v>
      </c>
      <c r="C12" t="s">
        <v>264</v>
      </c>
      <c r="D12">
        <v>30</v>
      </c>
    </row>
    <row r="13" spans="1:4" x14ac:dyDescent="0.25">
      <c r="A13" t="s">
        <v>153</v>
      </c>
      <c r="B13" t="s">
        <v>424</v>
      </c>
      <c r="C13" t="s">
        <v>265</v>
      </c>
    </row>
    <row r="14" spans="1:4" x14ac:dyDescent="0.25">
      <c r="A14" t="s">
        <v>153</v>
      </c>
      <c r="B14" t="s">
        <v>424</v>
      </c>
      <c r="C14" t="s">
        <v>266</v>
      </c>
    </row>
    <row r="15" spans="1:4" x14ac:dyDescent="0.25">
      <c r="A15" t="s">
        <v>153</v>
      </c>
      <c r="B15" t="s">
        <v>424</v>
      </c>
      <c r="C15" t="s">
        <v>145</v>
      </c>
    </row>
    <row r="16" spans="1:4" x14ac:dyDescent="0.25">
      <c r="A16" t="s">
        <v>153</v>
      </c>
      <c r="B16" t="s">
        <v>424</v>
      </c>
      <c r="C16" t="s">
        <v>132</v>
      </c>
      <c r="D16">
        <v>0</v>
      </c>
    </row>
    <row r="17" spans="1:4" x14ac:dyDescent="0.25">
      <c r="A17" t="s">
        <v>151</v>
      </c>
      <c r="B17" t="s">
        <v>330</v>
      </c>
      <c r="C17" t="s">
        <v>264</v>
      </c>
      <c r="D17">
        <v>1</v>
      </c>
    </row>
    <row r="18" spans="1:4" x14ac:dyDescent="0.25">
      <c r="A18" t="s">
        <v>151</v>
      </c>
      <c r="B18" t="s">
        <v>330</v>
      </c>
      <c r="C18" t="s">
        <v>265</v>
      </c>
    </row>
    <row r="19" spans="1:4" x14ac:dyDescent="0.25">
      <c r="A19" t="s">
        <v>151</v>
      </c>
      <c r="B19" t="s">
        <v>330</v>
      </c>
      <c r="C19" t="s">
        <v>266</v>
      </c>
    </row>
    <row r="20" spans="1:4" x14ac:dyDescent="0.25">
      <c r="A20" t="s">
        <v>151</v>
      </c>
      <c r="B20" t="s">
        <v>330</v>
      </c>
      <c r="C20" t="s">
        <v>145</v>
      </c>
    </row>
    <row r="21" spans="1:4" x14ac:dyDescent="0.25">
      <c r="A21" t="s">
        <v>151</v>
      </c>
      <c r="B21" t="s">
        <v>330</v>
      </c>
      <c r="C21" t="s">
        <v>132</v>
      </c>
      <c r="D21">
        <v>0</v>
      </c>
    </row>
    <row r="22" spans="1:4" x14ac:dyDescent="0.25">
      <c r="A22" t="s">
        <v>152</v>
      </c>
      <c r="B22" t="s">
        <v>330</v>
      </c>
      <c r="C22" t="s">
        <v>264</v>
      </c>
      <c r="D22">
        <v>1</v>
      </c>
    </row>
    <row r="23" spans="1:4" x14ac:dyDescent="0.25">
      <c r="A23" t="s">
        <v>152</v>
      </c>
      <c r="B23" t="s">
        <v>330</v>
      </c>
      <c r="C23" t="s">
        <v>265</v>
      </c>
    </row>
    <row r="24" spans="1:4" x14ac:dyDescent="0.25">
      <c r="A24" t="s">
        <v>152</v>
      </c>
      <c r="B24" t="s">
        <v>330</v>
      </c>
      <c r="C24" t="s">
        <v>266</v>
      </c>
    </row>
    <row r="25" spans="1:4" x14ac:dyDescent="0.25">
      <c r="A25" t="s">
        <v>152</v>
      </c>
      <c r="B25" t="s">
        <v>330</v>
      </c>
      <c r="C25" t="s">
        <v>145</v>
      </c>
    </row>
    <row r="26" spans="1:4" x14ac:dyDescent="0.25">
      <c r="A26" t="s">
        <v>152</v>
      </c>
      <c r="B26" t="s">
        <v>330</v>
      </c>
      <c r="C26" t="s">
        <v>132</v>
      </c>
      <c r="D26">
        <v>0</v>
      </c>
    </row>
    <row r="27" spans="1:4" x14ac:dyDescent="0.25">
      <c r="A27" t="s">
        <v>153</v>
      </c>
      <c r="B27" t="s">
        <v>330</v>
      </c>
      <c r="C27" t="s">
        <v>264</v>
      </c>
      <c r="D27">
        <v>1</v>
      </c>
    </row>
    <row r="28" spans="1:4" x14ac:dyDescent="0.25">
      <c r="A28" t="s">
        <v>153</v>
      </c>
      <c r="B28" t="s">
        <v>330</v>
      </c>
      <c r="C28" t="s">
        <v>265</v>
      </c>
    </row>
    <row r="29" spans="1:4" x14ac:dyDescent="0.25">
      <c r="A29" t="s">
        <v>153</v>
      </c>
      <c r="B29" t="s">
        <v>330</v>
      </c>
      <c r="C29" t="s">
        <v>266</v>
      </c>
    </row>
    <row r="30" spans="1:4" x14ac:dyDescent="0.25">
      <c r="A30" t="s">
        <v>153</v>
      </c>
      <c r="B30" t="s">
        <v>330</v>
      </c>
      <c r="C30" t="s">
        <v>145</v>
      </c>
    </row>
    <row r="31" spans="1:4" x14ac:dyDescent="0.25">
      <c r="A31" t="s">
        <v>153</v>
      </c>
      <c r="B31" t="s">
        <v>330</v>
      </c>
      <c r="C31" t="s">
        <v>132</v>
      </c>
      <c r="D31">
        <v>0</v>
      </c>
    </row>
    <row r="32" spans="1:4" x14ac:dyDescent="0.25">
      <c r="A32" t="s">
        <v>151</v>
      </c>
      <c r="B32" t="s">
        <v>41</v>
      </c>
      <c r="C32" t="s">
        <v>264</v>
      </c>
      <c r="D32">
        <v>1.85</v>
      </c>
    </row>
    <row r="33" spans="1:4" x14ac:dyDescent="0.25">
      <c r="A33" t="s">
        <v>151</v>
      </c>
      <c r="B33" t="s">
        <v>41</v>
      </c>
      <c r="C33" t="s">
        <v>265</v>
      </c>
    </row>
    <row r="34" spans="1:4" x14ac:dyDescent="0.25">
      <c r="A34" t="s">
        <v>151</v>
      </c>
      <c r="B34" t="s">
        <v>41</v>
      </c>
      <c r="C34" t="s">
        <v>266</v>
      </c>
    </row>
    <row r="35" spans="1:4" x14ac:dyDescent="0.25">
      <c r="A35" t="s">
        <v>151</v>
      </c>
      <c r="B35" t="s">
        <v>41</v>
      </c>
      <c r="C35" t="s">
        <v>145</v>
      </c>
    </row>
    <row r="36" spans="1:4" x14ac:dyDescent="0.25">
      <c r="A36" t="s">
        <v>151</v>
      </c>
      <c r="B36" t="s">
        <v>41</v>
      </c>
      <c r="C36" t="s">
        <v>132</v>
      </c>
      <c r="D36">
        <v>0</v>
      </c>
    </row>
    <row r="37" spans="1:4" x14ac:dyDescent="0.25">
      <c r="A37" t="s">
        <v>152</v>
      </c>
      <c r="B37" t="s">
        <v>41</v>
      </c>
      <c r="C37" t="s">
        <v>264</v>
      </c>
      <c r="D37">
        <v>1.85</v>
      </c>
    </row>
    <row r="38" spans="1:4" x14ac:dyDescent="0.25">
      <c r="A38" t="s">
        <v>152</v>
      </c>
      <c r="B38" t="s">
        <v>41</v>
      </c>
      <c r="C38" t="s">
        <v>265</v>
      </c>
    </row>
    <row r="39" spans="1:4" x14ac:dyDescent="0.25">
      <c r="A39" t="s">
        <v>152</v>
      </c>
      <c r="B39" t="s">
        <v>41</v>
      </c>
      <c r="C39" t="s">
        <v>266</v>
      </c>
    </row>
    <row r="40" spans="1:4" x14ac:dyDescent="0.25">
      <c r="A40" t="s">
        <v>152</v>
      </c>
      <c r="B40" t="s">
        <v>41</v>
      </c>
      <c r="C40" t="s">
        <v>145</v>
      </c>
    </row>
    <row r="41" spans="1:4" x14ac:dyDescent="0.25">
      <c r="A41" t="s">
        <v>152</v>
      </c>
      <c r="B41" t="s">
        <v>41</v>
      </c>
      <c r="C41" t="s">
        <v>132</v>
      </c>
      <c r="D41">
        <v>0</v>
      </c>
    </row>
    <row r="42" spans="1:4" x14ac:dyDescent="0.25">
      <c r="A42" t="s">
        <v>153</v>
      </c>
      <c r="B42" t="s">
        <v>41</v>
      </c>
      <c r="C42" t="s">
        <v>264</v>
      </c>
      <c r="D42">
        <v>1.85</v>
      </c>
    </row>
    <row r="43" spans="1:4" x14ac:dyDescent="0.25">
      <c r="A43" t="s">
        <v>153</v>
      </c>
      <c r="B43" t="s">
        <v>41</v>
      </c>
      <c r="C43" t="s">
        <v>265</v>
      </c>
    </row>
    <row r="44" spans="1:4" x14ac:dyDescent="0.25">
      <c r="A44" t="s">
        <v>153</v>
      </c>
      <c r="B44" t="s">
        <v>41</v>
      </c>
      <c r="C44" t="s">
        <v>266</v>
      </c>
    </row>
    <row r="45" spans="1:4" x14ac:dyDescent="0.25">
      <c r="A45" t="s">
        <v>153</v>
      </c>
      <c r="B45" t="s">
        <v>41</v>
      </c>
      <c r="C45" t="s">
        <v>145</v>
      </c>
    </row>
    <row r="46" spans="1:4" x14ac:dyDescent="0.25">
      <c r="A46" t="s">
        <v>153</v>
      </c>
      <c r="B46" t="s">
        <v>41</v>
      </c>
      <c r="C46" t="s">
        <v>132</v>
      </c>
      <c r="D46">
        <v>0</v>
      </c>
    </row>
    <row r="47" spans="1:4" x14ac:dyDescent="0.25">
      <c r="A47" t="s">
        <v>151</v>
      </c>
      <c r="B47" t="s">
        <v>20</v>
      </c>
      <c r="C47" t="s">
        <v>264</v>
      </c>
      <c r="D47">
        <v>1.57</v>
      </c>
    </row>
    <row r="48" spans="1:4" x14ac:dyDescent="0.25">
      <c r="A48" t="s">
        <v>151</v>
      </c>
      <c r="B48" t="s">
        <v>20</v>
      </c>
      <c r="C48" t="s">
        <v>265</v>
      </c>
    </row>
    <row r="49" spans="1:4" x14ac:dyDescent="0.25">
      <c r="A49" t="s">
        <v>151</v>
      </c>
      <c r="B49" t="s">
        <v>20</v>
      </c>
      <c r="C49" t="s">
        <v>266</v>
      </c>
    </row>
    <row r="50" spans="1:4" x14ac:dyDescent="0.25">
      <c r="A50" t="s">
        <v>151</v>
      </c>
      <c r="B50" t="s">
        <v>20</v>
      </c>
      <c r="C50" t="s">
        <v>145</v>
      </c>
    </row>
    <row r="51" spans="1:4" x14ac:dyDescent="0.25">
      <c r="A51" t="s">
        <v>151</v>
      </c>
      <c r="B51" t="s">
        <v>20</v>
      </c>
      <c r="C51" t="s">
        <v>132</v>
      </c>
      <c r="D51">
        <v>0</v>
      </c>
    </row>
    <row r="52" spans="1:4" x14ac:dyDescent="0.25">
      <c r="A52" t="s">
        <v>152</v>
      </c>
      <c r="B52" t="s">
        <v>20</v>
      </c>
      <c r="C52" t="s">
        <v>264</v>
      </c>
      <c r="D52">
        <v>1.57</v>
      </c>
    </row>
    <row r="53" spans="1:4" x14ac:dyDescent="0.25">
      <c r="A53" t="s">
        <v>152</v>
      </c>
      <c r="B53" t="s">
        <v>20</v>
      </c>
      <c r="C53" t="s">
        <v>265</v>
      </c>
    </row>
    <row r="54" spans="1:4" x14ac:dyDescent="0.25">
      <c r="A54" t="s">
        <v>152</v>
      </c>
      <c r="B54" t="s">
        <v>20</v>
      </c>
      <c r="C54" t="s">
        <v>266</v>
      </c>
    </row>
    <row r="55" spans="1:4" x14ac:dyDescent="0.25">
      <c r="A55" t="s">
        <v>152</v>
      </c>
      <c r="B55" t="s">
        <v>20</v>
      </c>
      <c r="C55" t="s">
        <v>145</v>
      </c>
    </row>
    <row r="56" spans="1:4" x14ac:dyDescent="0.25">
      <c r="A56" t="s">
        <v>152</v>
      </c>
      <c r="B56" t="s">
        <v>20</v>
      </c>
      <c r="C56" t="s">
        <v>132</v>
      </c>
      <c r="D56">
        <v>0</v>
      </c>
    </row>
    <row r="57" spans="1:4" x14ac:dyDescent="0.25">
      <c r="A57" t="s">
        <v>153</v>
      </c>
      <c r="B57" t="s">
        <v>20</v>
      </c>
      <c r="C57" t="s">
        <v>264</v>
      </c>
      <c r="D57">
        <v>1.57</v>
      </c>
    </row>
    <row r="58" spans="1:4" x14ac:dyDescent="0.25">
      <c r="A58" t="s">
        <v>153</v>
      </c>
      <c r="B58" t="s">
        <v>20</v>
      </c>
      <c r="C58" t="s">
        <v>265</v>
      </c>
    </row>
    <row r="59" spans="1:4" x14ac:dyDescent="0.25">
      <c r="A59" t="s">
        <v>153</v>
      </c>
      <c r="B59" t="s">
        <v>20</v>
      </c>
      <c r="C59" t="s">
        <v>266</v>
      </c>
    </row>
    <row r="60" spans="1:4" x14ac:dyDescent="0.25">
      <c r="A60" t="s">
        <v>153</v>
      </c>
      <c r="B60" t="s">
        <v>20</v>
      </c>
      <c r="C60" t="s">
        <v>145</v>
      </c>
    </row>
    <row r="61" spans="1:4" x14ac:dyDescent="0.25">
      <c r="A61" t="s">
        <v>153</v>
      </c>
      <c r="B61" t="s">
        <v>20</v>
      </c>
      <c r="C61" t="s">
        <v>132</v>
      </c>
      <c r="D61">
        <v>0</v>
      </c>
    </row>
    <row r="62" spans="1:4" x14ac:dyDescent="0.25">
      <c r="A62" t="s">
        <v>151</v>
      </c>
      <c r="B62" t="s">
        <v>267</v>
      </c>
      <c r="C62" t="s">
        <v>264</v>
      </c>
      <c r="D62">
        <v>2.1</v>
      </c>
    </row>
    <row r="63" spans="1:4" x14ac:dyDescent="0.25">
      <c r="A63" t="s">
        <v>151</v>
      </c>
      <c r="B63" t="s">
        <v>267</v>
      </c>
      <c r="C63" t="s">
        <v>265</v>
      </c>
    </row>
    <row r="64" spans="1:4" x14ac:dyDescent="0.25">
      <c r="A64" t="s">
        <v>151</v>
      </c>
      <c r="B64" t="s">
        <v>267</v>
      </c>
      <c r="C64" t="s">
        <v>266</v>
      </c>
    </row>
    <row r="65" spans="1:4" x14ac:dyDescent="0.25">
      <c r="A65" t="s">
        <v>151</v>
      </c>
      <c r="B65" t="s">
        <v>267</v>
      </c>
      <c r="C65" t="s">
        <v>145</v>
      </c>
    </row>
    <row r="66" spans="1:4" x14ac:dyDescent="0.25">
      <c r="A66" t="s">
        <v>151</v>
      </c>
      <c r="B66" t="s">
        <v>267</v>
      </c>
      <c r="C66" t="s">
        <v>132</v>
      </c>
      <c r="D66">
        <v>0</v>
      </c>
    </row>
    <row r="67" spans="1:4" x14ac:dyDescent="0.25">
      <c r="A67" t="s">
        <v>152</v>
      </c>
      <c r="B67" t="s">
        <v>267</v>
      </c>
      <c r="C67" t="s">
        <v>264</v>
      </c>
      <c r="D67">
        <v>2.1</v>
      </c>
    </row>
    <row r="68" spans="1:4" x14ac:dyDescent="0.25">
      <c r="A68" t="s">
        <v>152</v>
      </c>
      <c r="B68" t="s">
        <v>267</v>
      </c>
      <c r="C68" t="s">
        <v>265</v>
      </c>
    </row>
    <row r="69" spans="1:4" x14ac:dyDescent="0.25">
      <c r="A69" t="s">
        <v>152</v>
      </c>
      <c r="B69" t="s">
        <v>267</v>
      </c>
      <c r="C69" t="s">
        <v>266</v>
      </c>
    </row>
    <row r="70" spans="1:4" x14ac:dyDescent="0.25">
      <c r="A70" t="s">
        <v>152</v>
      </c>
      <c r="B70" t="s">
        <v>267</v>
      </c>
      <c r="C70" t="s">
        <v>145</v>
      </c>
    </row>
    <row r="71" spans="1:4" x14ac:dyDescent="0.25">
      <c r="A71" t="s">
        <v>152</v>
      </c>
      <c r="B71" t="s">
        <v>267</v>
      </c>
      <c r="C71" t="s">
        <v>132</v>
      </c>
      <c r="D71">
        <v>0</v>
      </c>
    </row>
    <row r="72" spans="1:4" x14ac:dyDescent="0.25">
      <c r="A72" t="s">
        <v>153</v>
      </c>
      <c r="B72" t="s">
        <v>267</v>
      </c>
      <c r="C72" t="s">
        <v>264</v>
      </c>
      <c r="D72">
        <v>2.1</v>
      </c>
    </row>
    <row r="73" spans="1:4" x14ac:dyDescent="0.25">
      <c r="A73" t="s">
        <v>153</v>
      </c>
      <c r="B73" t="s">
        <v>267</v>
      </c>
      <c r="C73" t="s">
        <v>265</v>
      </c>
    </row>
    <row r="74" spans="1:4" x14ac:dyDescent="0.25">
      <c r="A74" t="s">
        <v>153</v>
      </c>
      <c r="B74" t="s">
        <v>267</v>
      </c>
      <c r="C74" t="s">
        <v>266</v>
      </c>
    </row>
    <row r="75" spans="1:4" x14ac:dyDescent="0.25">
      <c r="A75" t="s">
        <v>153</v>
      </c>
      <c r="B75" t="s">
        <v>267</v>
      </c>
      <c r="C75" t="s">
        <v>145</v>
      </c>
    </row>
    <row r="76" spans="1:4" x14ac:dyDescent="0.25">
      <c r="A76" t="s">
        <v>153</v>
      </c>
      <c r="B76" t="s">
        <v>267</v>
      </c>
      <c r="C76" t="s">
        <v>132</v>
      </c>
      <c r="D76">
        <v>0</v>
      </c>
    </row>
    <row r="77" spans="1:4" x14ac:dyDescent="0.25">
      <c r="A77" t="s">
        <v>151</v>
      </c>
      <c r="B77" t="s">
        <v>268</v>
      </c>
      <c r="C77" t="s">
        <v>264</v>
      </c>
      <c r="D77">
        <v>1.5</v>
      </c>
    </row>
    <row r="78" spans="1:4" x14ac:dyDescent="0.25">
      <c r="A78" t="s">
        <v>151</v>
      </c>
      <c r="B78" t="s">
        <v>268</v>
      </c>
      <c r="C78" t="s">
        <v>265</v>
      </c>
    </row>
    <row r="79" spans="1:4" x14ac:dyDescent="0.25">
      <c r="A79" t="s">
        <v>151</v>
      </c>
      <c r="B79" t="s">
        <v>268</v>
      </c>
      <c r="C79" t="s">
        <v>266</v>
      </c>
    </row>
    <row r="80" spans="1:4" x14ac:dyDescent="0.25">
      <c r="A80" t="s">
        <v>151</v>
      </c>
      <c r="B80" t="s">
        <v>268</v>
      </c>
      <c r="C80" t="s">
        <v>145</v>
      </c>
    </row>
    <row r="81" spans="1:4" x14ac:dyDescent="0.25">
      <c r="A81" t="s">
        <v>151</v>
      </c>
      <c r="B81" t="s">
        <v>268</v>
      </c>
      <c r="C81" t="s">
        <v>132</v>
      </c>
      <c r="D81">
        <v>0</v>
      </c>
    </row>
    <row r="82" spans="1:4" x14ac:dyDescent="0.25">
      <c r="A82" t="s">
        <v>152</v>
      </c>
      <c r="B82" t="s">
        <v>268</v>
      </c>
      <c r="C82" t="s">
        <v>264</v>
      </c>
      <c r="D82">
        <v>1.5</v>
      </c>
    </row>
    <row r="83" spans="1:4" x14ac:dyDescent="0.25">
      <c r="A83" t="s">
        <v>152</v>
      </c>
      <c r="B83" t="s">
        <v>268</v>
      </c>
      <c r="C83" t="s">
        <v>265</v>
      </c>
    </row>
    <row r="84" spans="1:4" x14ac:dyDescent="0.25">
      <c r="A84" t="s">
        <v>152</v>
      </c>
      <c r="B84" t="s">
        <v>268</v>
      </c>
      <c r="C84" t="s">
        <v>266</v>
      </c>
    </row>
    <row r="85" spans="1:4" x14ac:dyDescent="0.25">
      <c r="A85" t="s">
        <v>152</v>
      </c>
      <c r="B85" t="s">
        <v>268</v>
      </c>
      <c r="C85" t="s">
        <v>145</v>
      </c>
    </row>
    <row r="86" spans="1:4" x14ac:dyDescent="0.25">
      <c r="A86" t="s">
        <v>152</v>
      </c>
      <c r="B86" t="s">
        <v>268</v>
      </c>
      <c r="C86" t="s">
        <v>132</v>
      </c>
      <c r="D86">
        <v>0</v>
      </c>
    </row>
    <row r="87" spans="1:4" x14ac:dyDescent="0.25">
      <c r="A87" t="s">
        <v>153</v>
      </c>
      <c r="B87" t="s">
        <v>268</v>
      </c>
      <c r="C87" t="s">
        <v>264</v>
      </c>
      <c r="D87">
        <v>1.5</v>
      </c>
    </row>
    <row r="88" spans="1:4" x14ac:dyDescent="0.25">
      <c r="A88" t="s">
        <v>153</v>
      </c>
      <c r="B88" t="s">
        <v>268</v>
      </c>
      <c r="C88" t="s">
        <v>265</v>
      </c>
    </row>
    <row r="89" spans="1:4" x14ac:dyDescent="0.25">
      <c r="A89" t="s">
        <v>153</v>
      </c>
      <c r="B89" t="s">
        <v>268</v>
      </c>
      <c r="C89" t="s">
        <v>266</v>
      </c>
    </row>
    <row r="90" spans="1:4" x14ac:dyDescent="0.25">
      <c r="A90" t="s">
        <v>153</v>
      </c>
      <c r="B90" t="s">
        <v>268</v>
      </c>
      <c r="C90" t="s">
        <v>145</v>
      </c>
    </row>
    <row r="91" spans="1:4" x14ac:dyDescent="0.25">
      <c r="A91" t="s">
        <v>153</v>
      </c>
      <c r="B91" t="s">
        <v>268</v>
      </c>
      <c r="C91" t="s">
        <v>132</v>
      </c>
      <c r="D91">
        <v>0</v>
      </c>
    </row>
    <row r="92" spans="1:4" x14ac:dyDescent="0.25">
      <c r="A92" t="s">
        <v>151</v>
      </c>
      <c r="B92" t="s">
        <v>42</v>
      </c>
      <c r="C92" t="s">
        <v>264</v>
      </c>
      <c r="D92">
        <v>4.16</v>
      </c>
    </row>
    <row r="93" spans="1:4" x14ac:dyDescent="0.25">
      <c r="A93" t="s">
        <v>151</v>
      </c>
      <c r="B93" t="s">
        <v>42</v>
      </c>
      <c r="C93" t="s">
        <v>265</v>
      </c>
    </row>
    <row r="94" spans="1:4" x14ac:dyDescent="0.25">
      <c r="A94" t="s">
        <v>151</v>
      </c>
      <c r="B94" t="s">
        <v>42</v>
      </c>
      <c r="C94" t="s">
        <v>266</v>
      </c>
    </row>
    <row r="95" spans="1:4" x14ac:dyDescent="0.25">
      <c r="A95" t="s">
        <v>151</v>
      </c>
      <c r="B95" t="s">
        <v>42</v>
      </c>
      <c r="C95" t="s">
        <v>145</v>
      </c>
    </row>
    <row r="96" spans="1:4" x14ac:dyDescent="0.25">
      <c r="A96" t="s">
        <v>151</v>
      </c>
      <c r="B96" t="s">
        <v>42</v>
      </c>
      <c r="C96" t="s">
        <v>132</v>
      </c>
      <c r="D96">
        <v>0</v>
      </c>
    </row>
    <row r="97" spans="1:4" x14ac:dyDescent="0.25">
      <c r="A97" t="s">
        <v>152</v>
      </c>
      <c r="B97" t="s">
        <v>42</v>
      </c>
      <c r="C97" t="s">
        <v>264</v>
      </c>
      <c r="D97">
        <v>4.16</v>
      </c>
    </row>
    <row r="98" spans="1:4" x14ac:dyDescent="0.25">
      <c r="A98" t="s">
        <v>152</v>
      </c>
      <c r="B98" t="s">
        <v>42</v>
      </c>
      <c r="C98" t="s">
        <v>265</v>
      </c>
    </row>
    <row r="99" spans="1:4" x14ac:dyDescent="0.25">
      <c r="A99" t="s">
        <v>152</v>
      </c>
      <c r="B99" t="s">
        <v>42</v>
      </c>
      <c r="C99" t="s">
        <v>266</v>
      </c>
    </row>
    <row r="100" spans="1:4" x14ac:dyDescent="0.25">
      <c r="A100" t="s">
        <v>152</v>
      </c>
      <c r="B100" t="s">
        <v>42</v>
      </c>
      <c r="C100" t="s">
        <v>145</v>
      </c>
    </row>
    <row r="101" spans="1:4" x14ac:dyDescent="0.25">
      <c r="A101" t="s">
        <v>152</v>
      </c>
      <c r="B101" t="s">
        <v>42</v>
      </c>
      <c r="C101" t="s">
        <v>132</v>
      </c>
      <c r="D101">
        <v>0</v>
      </c>
    </row>
    <row r="102" spans="1:4" x14ac:dyDescent="0.25">
      <c r="A102" t="s">
        <v>153</v>
      </c>
      <c r="B102" t="s">
        <v>42</v>
      </c>
      <c r="C102" t="s">
        <v>264</v>
      </c>
      <c r="D102">
        <v>4.16</v>
      </c>
    </row>
    <row r="103" spans="1:4" x14ac:dyDescent="0.25">
      <c r="A103" t="s">
        <v>153</v>
      </c>
      <c r="B103" t="s">
        <v>42</v>
      </c>
      <c r="C103" t="s">
        <v>265</v>
      </c>
    </row>
    <row r="104" spans="1:4" x14ac:dyDescent="0.25">
      <c r="A104" t="s">
        <v>153</v>
      </c>
      <c r="B104" t="s">
        <v>42</v>
      </c>
      <c r="C104" t="s">
        <v>266</v>
      </c>
    </row>
    <row r="105" spans="1:4" x14ac:dyDescent="0.25">
      <c r="A105" t="s">
        <v>153</v>
      </c>
      <c r="B105" t="s">
        <v>42</v>
      </c>
      <c r="C105" t="s">
        <v>145</v>
      </c>
    </row>
    <row r="106" spans="1:4" x14ac:dyDescent="0.25">
      <c r="A106" t="s">
        <v>153</v>
      </c>
      <c r="B106" t="s">
        <v>42</v>
      </c>
      <c r="C106" t="s">
        <v>132</v>
      </c>
      <c r="D106">
        <v>0</v>
      </c>
    </row>
    <row r="107" spans="1:4" x14ac:dyDescent="0.25">
      <c r="A107" t="s">
        <v>151</v>
      </c>
      <c r="B107" t="s">
        <v>269</v>
      </c>
      <c r="C107" t="s">
        <v>264</v>
      </c>
      <c r="D107">
        <v>9.5079999999999991</v>
      </c>
    </row>
    <row r="108" spans="1:4" x14ac:dyDescent="0.25">
      <c r="A108" t="s">
        <v>151</v>
      </c>
      <c r="B108" t="s">
        <v>269</v>
      </c>
      <c r="C108" t="s">
        <v>265</v>
      </c>
    </row>
    <row r="109" spans="1:4" x14ac:dyDescent="0.25">
      <c r="A109" t="s">
        <v>151</v>
      </c>
      <c r="B109" t="s">
        <v>269</v>
      </c>
      <c r="C109" t="s">
        <v>266</v>
      </c>
    </row>
    <row r="110" spans="1:4" x14ac:dyDescent="0.25">
      <c r="A110" t="s">
        <v>151</v>
      </c>
      <c r="B110" t="s">
        <v>269</v>
      </c>
      <c r="C110" t="s">
        <v>145</v>
      </c>
    </row>
    <row r="111" spans="1:4" x14ac:dyDescent="0.25">
      <c r="A111" t="s">
        <v>151</v>
      </c>
      <c r="B111" t="s">
        <v>269</v>
      </c>
      <c r="C111" t="s">
        <v>132</v>
      </c>
      <c r="D111">
        <v>0</v>
      </c>
    </row>
    <row r="112" spans="1:4" x14ac:dyDescent="0.25">
      <c r="A112" t="s">
        <v>152</v>
      </c>
      <c r="B112" t="s">
        <v>269</v>
      </c>
      <c r="C112" t="s">
        <v>264</v>
      </c>
      <c r="D112">
        <v>9.5079999999999991</v>
      </c>
    </row>
    <row r="113" spans="1:4" x14ac:dyDescent="0.25">
      <c r="A113" t="s">
        <v>152</v>
      </c>
      <c r="B113" t="s">
        <v>269</v>
      </c>
      <c r="C113" t="s">
        <v>265</v>
      </c>
    </row>
    <row r="114" spans="1:4" x14ac:dyDescent="0.25">
      <c r="A114" t="s">
        <v>152</v>
      </c>
      <c r="B114" t="s">
        <v>269</v>
      </c>
      <c r="C114" t="s">
        <v>266</v>
      </c>
    </row>
    <row r="115" spans="1:4" x14ac:dyDescent="0.25">
      <c r="A115" t="s">
        <v>152</v>
      </c>
      <c r="B115" t="s">
        <v>269</v>
      </c>
      <c r="C115" t="s">
        <v>145</v>
      </c>
    </row>
    <row r="116" spans="1:4" x14ac:dyDescent="0.25">
      <c r="A116" t="s">
        <v>152</v>
      </c>
      <c r="B116" t="s">
        <v>269</v>
      </c>
      <c r="C116" t="s">
        <v>132</v>
      </c>
      <c r="D116">
        <v>0</v>
      </c>
    </row>
    <row r="117" spans="1:4" x14ac:dyDescent="0.25">
      <c r="A117" t="s">
        <v>153</v>
      </c>
      <c r="B117" t="s">
        <v>269</v>
      </c>
      <c r="C117" t="s">
        <v>264</v>
      </c>
      <c r="D117">
        <v>9.5079999999999991</v>
      </c>
    </row>
    <row r="118" spans="1:4" x14ac:dyDescent="0.25">
      <c r="A118" t="s">
        <v>153</v>
      </c>
      <c r="B118" t="s">
        <v>269</v>
      </c>
      <c r="C118" t="s">
        <v>265</v>
      </c>
    </row>
    <row r="119" spans="1:4" x14ac:dyDescent="0.25">
      <c r="A119" t="s">
        <v>153</v>
      </c>
      <c r="B119" t="s">
        <v>269</v>
      </c>
      <c r="C119" t="s">
        <v>266</v>
      </c>
    </row>
    <row r="120" spans="1:4" x14ac:dyDescent="0.25">
      <c r="A120" t="s">
        <v>153</v>
      </c>
      <c r="B120" t="s">
        <v>269</v>
      </c>
      <c r="C120" t="s">
        <v>145</v>
      </c>
    </row>
    <row r="121" spans="1:4" x14ac:dyDescent="0.25">
      <c r="A121" t="s">
        <v>153</v>
      </c>
      <c r="B121" t="s">
        <v>269</v>
      </c>
      <c r="C121" t="s">
        <v>132</v>
      </c>
      <c r="D121">
        <v>0</v>
      </c>
    </row>
    <row r="122" spans="1:4" x14ac:dyDescent="0.25">
      <c r="A122" t="s">
        <v>151</v>
      </c>
      <c r="B122" t="s">
        <v>38</v>
      </c>
      <c r="C122" t="s">
        <v>264</v>
      </c>
      <c r="D122">
        <v>2.86</v>
      </c>
    </row>
    <row r="123" spans="1:4" x14ac:dyDescent="0.25">
      <c r="A123" t="s">
        <v>151</v>
      </c>
      <c r="B123" t="s">
        <v>38</v>
      </c>
      <c r="C123" t="s">
        <v>265</v>
      </c>
    </row>
    <row r="124" spans="1:4" x14ac:dyDescent="0.25">
      <c r="A124" t="s">
        <v>151</v>
      </c>
      <c r="B124" t="s">
        <v>38</v>
      </c>
      <c r="C124" t="s">
        <v>266</v>
      </c>
    </row>
    <row r="125" spans="1:4" x14ac:dyDescent="0.25">
      <c r="A125" t="s">
        <v>151</v>
      </c>
      <c r="B125" t="s">
        <v>38</v>
      </c>
      <c r="C125" t="s">
        <v>145</v>
      </c>
    </row>
    <row r="126" spans="1:4" x14ac:dyDescent="0.25">
      <c r="A126" t="s">
        <v>151</v>
      </c>
      <c r="B126" t="s">
        <v>38</v>
      </c>
      <c r="C126" t="s">
        <v>132</v>
      </c>
      <c r="D126">
        <v>0</v>
      </c>
    </row>
    <row r="127" spans="1:4" x14ac:dyDescent="0.25">
      <c r="A127" t="s">
        <v>152</v>
      </c>
      <c r="B127" t="s">
        <v>38</v>
      </c>
      <c r="C127" t="s">
        <v>264</v>
      </c>
      <c r="D127">
        <v>2.86</v>
      </c>
    </row>
    <row r="128" spans="1:4" x14ac:dyDescent="0.25">
      <c r="A128" t="s">
        <v>152</v>
      </c>
      <c r="B128" t="s">
        <v>38</v>
      </c>
      <c r="C128" t="s">
        <v>265</v>
      </c>
    </row>
    <row r="129" spans="1:4" x14ac:dyDescent="0.25">
      <c r="A129" t="s">
        <v>152</v>
      </c>
      <c r="B129" t="s">
        <v>38</v>
      </c>
      <c r="C129" t="s">
        <v>266</v>
      </c>
    </row>
    <row r="130" spans="1:4" x14ac:dyDescent="0.25">
      <c r="A130" t="s">
        <v>152</v>
      </c>
      <c r="B130" t="s">
        <v>38</v>
      </c>
      <c r="C130" t="s">
        <v>145</v>
      </c>
    </row>
    <row r="131" spans="1:4" x14ac:dyDescent="0.25">
      <c r="A131" t="s">
        <v>152</v>
      </c>
      <c r="B131" t="s">
        <v>38</v>
      </c>
      <c r="C131" t="s">
        <v>132</v>
      </c>
      <c r="D131">
        <v>0</v>
      </c>
    </row>
    <row r="132" spans="1:4" x14ac:dyDescent="0.25">
      <c r="A132" t="s">
        <v>153</v>
      </c>
      <c r="B132" t="s">
        <v>38</v>
      </c>
      <c r="C132" t="s">
        <v>264</v>
      </c>
      <c r="D132">
        <v>2.86</v>
      </c>
    </row>
    <row r="133" spans="1:4" x14ac:dyDescent="0.25">
      <c r="A133" t="s">
        <v>153</v>
      </c>
      <c r="B133" t="s">
        <v>38</v>
      </c>
      <c r="C133" t="s">
        <v>265</v>
      </c>
    </row>
    <row r="134" spans="1:4" x14ac:dyDescent="0.25">
      <c r="A134" t="s">
        <v>153</v>
      </c>
      <c r="B134" t="s">
        <v>38</v>
      </c>
      <c r="C134" t="s">
        <v>266</v>
      </c>
    </row>
    <row r="135" spans="1:4" x14ac:dyDescent="0.25">
      <c r="A135" t="s">
        <v>153</v>
      </c>
      <c r="B135" t="s">
        <v>38</v>
      </c>
      <c r="C135" t="s">
        <v>145</v>
      </c>
    </row>
    <row r="136" spans="1:4" x14ac:dyDescent="0.25">
      <c r="A136" t="s">
        <v>153</v>
      </c>
      <c r="B136" t="s">
        <v>38</v>
      </c>
      <c r="C136" t="s">
        <v>132</v>
      </c>
      <c r="D136">
        <v>0</v>
      </c>
    </row>
    <row r="137" spans="1:4" x14ac:dyDescent="0.25">
      <c r="A137" t="s">
        <v>151</v>
      </c>
      <c r="B137" t="s">
        <v>270</v>
      </c>
      <c r="C137" t="s">
        <v>264</v>
      </c>
      <c r="D137">
        <v>4.3499999999999996</v>
      </c>
    </row>
    <row r="138" spans="1:4" x14ac:dyDescent="0.25">
      <c r="A138" t="s">
        <v>151</v>
      </c>
      <c r="B138" t="s">
        <v>270</v>
      </c>
      <c r="C138" t="s">
        <v>265</v>
      </c>
    </row>
    <row r="139" spans="1:4" x14ac:dyDescent="0.25">
      <c r="A139" t="s">
        <v>151</v>
      </c>
      <c r="B139" t="s">
        <v>270</v>
      </c>
      <c r="C139" t="s">
        <v>266</v>
      </c>
    </row>
    <row r="140" spans="1:4" x14ac:dyDescent="0.25">
      <c r="A140" t="s">
        <v>151</v>
      </c>
      <c r="B140" t="s">
        <v>270</v>
      </c>
      <c r="C140" t="s">
        <v>145</v>
      </c>
    </row>
    <row r="141" spans="1:4" x14ac:dyDescent="0.25">
      <c r="A141" t="s">
        <v>151</v>
      </c>
      <c r="B141" t="s">
        <v>270</v>
      </c>
      <c r="C141" t="s">
        <v>132</v>
      </c>
      <c r="D141">
        <v>616.65300000000002</v>
      </c>
    </row>
    <row r="142" spans="1:4" x14ac:dyDescent="0.25">
      <c r="A142" t="s">
        <v>152</v>
      </c>
      <c r="B142" t="s">
        <v>270</v>
      </c>
      <c r="C142" t="s">
        <v>264</v>
      </c>
      <c r="D142">
        <v>4.3499999999999996</v>
      </c>
    </row>
    <row r="143" spans="1:4" x14ac:dyDescent="0.25">
      <c r="A143" t="s">
        <v>152</v>
      </c>
      <c r="B143" t="s">
        <v>270</v>
      </c>
      <c r="C143" t="s">
        <v>265</v>
      </c>
    </row>
    <row r="144" spans="1:4" x14ac:dyDescent="0.25">
      <c r="A144" t="s">
        <v>152</v>
      </c>
      <c r="B144" t="s">
        <v>270</v>
      </c>
      <c r="C144" t="s">
        <v>266</v>
      </c>
    </row>
    <row r="145" spans="1:4" x14ac:dyDescent="0.25">
      <c r="A145" t="s">
        <v>152</v>
      </c>
      <c r="B145" t="s">
        <v>270</v>
      </c>
      <c r="C145" t="s">
        <v>145</v>
      </c>
    </row>
    <row r="146" spans="1:4" x14ac:dyDescent="0.25">
      <c r="A146" t="s">
        <v>152</v>
      </c>
      <c r="B146" t="s">
        <v>270</v>
      </c>
      <c r="C146" t="s">
        <v>132</v>
      </c>
      <c r="D146">
        <v>616.65300000000002</v>
      </c>
    </row>
    <row r="147" spans="1:4" x14ac:dyDescent="0.25">
      <c r="A147" t="s">
        <v>153</v>
      </c>
      <c r="B147" t="s">
        <v>270</v>
      </c>
      <c r="C147" t="s">
        <v>264</v>
      </c>
      <c r="D147">
        <v>4.3499999999999996</v>
      </c>
    </row>
    <row r="148" spans="1:4" x14ac:dyDescent="0.25">
      <c r="A148" t="s">
        <v>153</v>
      </c>
      <c r="B148" t="s">
        <v>270</v>
      </c>
      <c r="C148" t="s">
        <v>265</v>
      </c>
    </row>
    <row r="149" spans="1:4" x14ac:dyDescent="0.25">
      <c r="A149" t="s">
        <v>153</v>
      </c>
      <c r="B149" t="s">
        <v>270</v>
      </c>
      <c r="C149" t="s">
        <v>266</v>
      </c>
    </row>
    <row r="150" spans="1:4" x14ac:dyDescent="0.25">
      <c r="A150" t="s">
        <v>153</v>
      </c>
      <c r="B150" t="s">
        <v>270</v>
      </c>
      <c r="C150" t="s">
        <v>145</v>
      </c>
    </row>
    <row r="151" spans="1:4" x14ac:dyDescent="0.25">
      <c r="A151" t="s">
        <v>153</v>
      </c>
      <c r="B151" t="s">
        <v>270</v>
      </c>
      <c r="C151" t="s">
        <v>132</v>
      </c>
      <c r="D151">
        <v>616.65300000000002</v>
      </c>
    </row>
    <row r="152" spans="1:4" x14ac:dyDescent="0.25">
      <c r="A152" t="s">
        <v>151</v>
      </c>
      <c r="B152" t="s">
        <v>271</v>
      </c>
      <c r="C152" t="s">
        <v>264</v>
      </c>
      <c r="D152">
        <v>32.426000000000002</v>
      </c>
    </row>
    <row r="153" spans="1:4" x14ac:dyDescent="0.25">
      <c r="A153" t="s">
        <v>151</v>
      </c>
      <c r="B153" t="s">
        <v>271</v>
      </c>
      <c r="C153" t="s">
        <v>265</v>
      </c>
    </row>
    <row r="154" spans="1:4" x14ac:dyDescent="0.25">
      <c r="A154" t="s">
        <v>151</v>
      </c>
      <c r="B154" t="s">
        <v>271</v>
      </c>
      <c r="C154" t="s">
        <v>266</v>
      </c>
    </row>
    <row r="155" spans="1:4" x14ac:dyDescent="0.25">
      <c r="A155" t="s">
        <v>151</v>
      </c>
      <c r="B155" t="s">
        <v>271</v>
      </c>
      <c r="C155" t="s">
        <v>145</v>
      </c>
    </row>
    <row r="156" spans="1:4" x14ac:dyDescent="0.25">
      <c r="A156" t="s">
        <v>151</v>
      </c>
      <c r="B156" t="s">
        <v>271</v>
      </c>
      <c r="C156" t="s">
        <v>132</v>
      </c>
      <c r="D156">
        <v>180</v>
      </c>
    </row>
    <row r="157" spans="1:4" x14ac:dyDescent="0.25">
      <c r="A157" t="s">
        <v>152</v>
      </c>
      <c r="B157" t="s">
        <v>271</v>
      </c>
      <c r="C157" t="s">
        <v>264</v>
      </c>
      <c r="D157">
        <v>32.426000000000002</v>
      </c>
    </row>
    <row r="158" spans="1:4" x14ac:dyDescent="0.25">
      <c r="A158" t="s">
        <v>152</v>
      </c>
      <c r="B158" t="s">
        <v>271</v>
      </c>
      <c r="C158" t="s">
        <v>265</v>
      </c>
    </row>
    <row r="159" spans="1:4" x14ac:dyDescent="0.25">
      <c r="A159" t="s">
        <v>152</v>
      </c>
      <c r="B159" t="s">
        <v>271</v>
      </c>
      <c r="C159" t="s">
        <v>266</v>
      </c>
    </row>
    <row r="160" spans="1:4" x14ac:dyDescent="0.25">
      <c r="A160" t="s">
        <v>152</v>
      </c>
      <c r="B160" t="s">
        <v>271</v>
      </c>
      <c r="C160" t="s">
        <v>145</v>
      </c>
    </row>
    <row r="161" spans="1:4" x14ac:dyDescent="0.25">
      <c r="A161" t="s">
        <v>152</v>
      </c>
      <c r="B161" t="s">
        <v>271</v>
      </c>
      <c r="C161" t="s">
        <v>132</v>
      </c>
      <c r="D161">
        <v>180</v>
      </c>
    </row>
    <row r="162" spans="1:4" x14ac:dyDescent="0.25">
      <c r="A162" t="s">
        <v>153</v>
      </c>
      <c r="B162" t="s">
        <v>271</v>
      </c>
      <c r="C162" t="s">
        <v>264</v>
      </c>
      <c r="D162">
        <v>32.426000000000002</v>
      </c>
    </row>
    <row r="163" spans="1:4" x14ac:dyDescent="0.25">
      <c r="A163" t="s">
        <v>153</v>
      </c>
      <c r="B163" t="s">
        <v>271</v>
      </c>
      <c r="C163" t="s">
        <v>265</v>
      </c>
    </row>
    <row r="164" spans="1:4" x14ac:dyDescent="0.25">
      <c r="A164" t="s">
        <v>153</v>
      </c>
      <c r="B164" t="s">
        <v>271</v>
      </c>
      <c r="C164" t="s">
        <v>266</v>
      </c>
    </row>
    <row r="165" spans="1:4" x14ac:dyDescent="0.25">
      <c r="A165" t="s">
        <v>153</v>
      </c>
      <c r="B165" t="s">
        <v>271</v>
      </c>
      <c r="C165" t="s">
        <v>145</v>
      </c>
    </row>
    <row r="166" spans="1:4" x14ac:dyDescent="0.25">
      <c r="A166" t="s">
        <v>153</v>
      </c>
      <c r="B166" t="s">
        <v>271</v>
      </c>
      <c r="C166" t="s">
        <v>132</v>
      </c>
      <c r="D166">
        <v>180</v>
      </c>
    </row>
    <row r="167" spans="1:4" x14ac:dyDescent="0.25">
      <c r="A167" t="s">
        <v>151</v>
      </c>
      <c r="B167" t="s">
        <v>272</v>
      </c>
      <c r="C167" t="s">
        <v>264</v>
      </c>
      <c r="D167">
        <v>44.421999999999997</v>
      </c>
    </row>
    <row r="168" spans="1:4" x14ac:dyDescent="0.25">
      <c r="A168" t="s">
        <v>151</v>
      </c>
      <c r="B168" t="s">
        <v>272</v>
      </c>
      <c r="C168" t="s">
        <v>265</v>
      </c>
    </row>
    <row r="169" spans="1:4" x14ac:dyDescent="0.25">
      <c r="A169" t="s">
        <v>151</v>
      </c>
      <c r="B169" t="s">
        <v>272</v>
      </c>
      <c r="C169" t="s">
        <v>266</v>
      </c>
    </row>
    <row r="170" spans="1:4" x14ac:dyDescent="0.25">
      <c r="A170" t="s">
        <v>151</v>
      </c>
      <c r="B170" t="s">
        <v>272</v>
      </c>
      <c r="C170" t="s">
        <v>145</v>
      </c>
    </row>
    <row r="171" spans="1:4" x14ac:dyDescent="0.25">
      <c r="A171" t="s">
        <v>151</v>
      </c>
      <c r="B171" t="s">
        <v>272</v>
      </c>
      <c r="C171" t="s">
        <v>132</v>
      </c>
      <c r="D171">
        <v>2.2389999999999999</v>
      </c>
    </row>
    <row r="172" spans="1:4" x14ac:dyDescent="0.25">
      <c r="A172" t="s">
        <v>152</v>
      </c>
      <c r="B172" t="s">
        <v>272</v>
      </c>
      <c r="C172" t="s">
        <v>264</v>
      </c>
      <c r="D172">
        <v>44.421999999999997</v>
      </c>
    </row>
    <row r="173" spans="1:4" x14ac:dyDescent="0.25">
      <c r="A173" t="s">
        <v>152</v>
      </c>
      <c r="B173" t="s">
        <v>272</v>
      </c>
      <c r="C173" t="s">
        <v>265</v>
      </c>
    </row>
    <row r="174" spans="1:4" x14ac:dyDescent="0.25">
      <c r="A174" t="s">
        <v>152</v>
      </c>
      <c r="B174" t="s">
        <v>272</v>
      </c>
      <c r="C174" t="s">
        <v>266</v>
      </c>
    </row>
    <row r="175" spans="1:4" x14ac:dyDescent="0.25">
      <c r="A175" t="s">
        <v>152</v>
      </c>
      <c r="B175" t="s">
        <v>272</v>
      </c>
      <c r="C175" t="s">
        <v>145</v>
      </c>
    </row>
    <row r="176" spans="1:4" x14ac:dyDescent="0.25">
      <c r="A176" t="s">
        <v>152</v>
      </c>
      <c r="B176" t="s">
        <v>272</v>
      </c>
      <c r="C176" t="s">
        <v>132</v>
      </c>
      <c r="D176">
        <v>2.2389999999999999</v>
      </c>
    </row>
    <row r="177" spans="1:4" x14ac:dyDescent="0.25">
      <c r="A177" t="s">
        <v>153</v>
      </c>
      <c r="B177" t="s">
        <v>272</v>
      </c>
      <c r="C177" t="s">
        <v>264</v>
      </c>
      <c r="D177">
        <v>44.421999999999997</v>
      </c>
    </row>
    <row r="178" spans="1:4" x14ac:dyDescent="0.25">
      <c r="A178" t="s">
        <v>153</v>
      </c>
      <c r="B178" t="s">
        <v>272</v>
      </c>
      <c r="C178" t="s">
        <v>265</v>
      </c>
    </row>
    <row r="179" spans="1:4" x14ac:dyDescent="0.25">
      <c r="A179" t="s">
        <v>153</v>
      </c>
      <c r="B179" t="s">
        <v>272</v>
      </c>
      <c r="C179" t="s">
        <v>266</v>
      </c>
    </row>
    <row r="180" spans="1:4" x14ac:dyDescent="0.25">
      <c r="A180" t="s">
        <v>153</v>
      </c>
      <c r="B180" t="s">
        <v>272</v>
      </c>
      <c r="C180" t="s">
        <v>145</v>
      </c>
    </row>
    <row r="181" spans="1:4" x14ac:dyDescent="0.25">
      <c r="A181" t="s">
        <v>153</v>
      </c>
      <c r="B181" t="s">
        <v>272</v>
      </c>
      <c r="C181" t="s">
        <v>132</v>
      </c>
      <c r="D181">
        <v>2.2389999999999999</v>
      </c>
    </row>
    <row r="182" spans="1:4" x14ac:dyDescent="0.25">
      <c r="A182" t="s">
        <v>151</v>
      </c>
      <c r="B182" t="s">
        <v>273</v>
      </c>
      <c r="C182" t="s">
        <v>264</v>
      </c>
      <c r="D182">
        <v>21.343</v>
      </c>
    </row>
    <row r="183" spans="1:4" x14ac:dyDescent="0.25">
      <c r="A183" t="s">
        <v>151</v>
      </c>
      <c r="B183" t="s">
        <v>273</v>
      </c>
      <c r="C183" t="s">
        <v>265</v>
      </c>
    </row>
    <row r="184" spans="1:4" x14ac:dyDescent="0.25">
      <c r="A184" t="s">
        <v>151</v>
      </c>
      <c r="B184" t="s">
        <v>273</v>
      </c>
      <c r="C184" t="s">
        <v>266</v>
      </c>
    </row>
    <row r="185" spans="1:4" x14ac:dyDescent="0.25">
      <c r="A185" t="s">
        <v>151</v>
      </c>
      <c r="B185" t="s">
        <v>273</v>
      </c>
      <c r="C185" t="s">
        <v>145</v>
      </c>
    </row>
    <row r="186" spans="1:4" x14ac:dyDescent="0.25">
      <c r="A186" t="s">
        <v>151</v>
      </c>
      <c r="B186" t="s">
        <v>273</v>
      </c>
      <c r="C186" t="s">
        <v>132</v>
      </c>
      <c r="D186">
        <v>0</v>
      </c>
    </row>
    <row r="187" spans="1:4" x14ac:dyDescent="0.25">
      <c r="A187" t="s">
        <v>152</v>
      </c>
      <c r="B187" t="s">
        <v>273</v>
      </c>
      <c r="C187" t="s">
        <v>264</v>
      </c>
      <c r="D187">
        <v>21.343</v>
      </c>
    </row>
    <row r="188" spans="1:4" x14ac:dyDescent="0.25">
      <c r="A188" t="s">
        <v>152</v>
      </c>
      <c r="B188" t="s">
        <v>273</v>
      </c>
      <c r="C188" t="s">
        <v>265</v>
      </c>
    </row>
    <row r="189" spans="1:4" x14ac:dyDescent="0.25">
      <c r="A189" t="s">
        <v>152</v>
      </c>
      <c r="B189" t="s">
        <v>273</v>
      </c>
      <c r="C189" t="s">
        <v>266</v>
      </c>
    </row>
    <row r="190" spans="1:4" x14ac:dyDescent="0.25">
      <c r="A190" t="s">
        <v>152</v>
      </c>
      <c r="B190" t="s">
        <v>273</v>
      </c>
      <c r="C190" t="s">
        <v>145</v>
      </c>
    </row>
    <row r="191" spans="1:4" x14ac:dyDescent="0.25">
      <c r="A191" t="s">
        <v>152</v>
      </c>
      <c r="B191" t="s">
        <v>273</v>
      </c>
      <c r="C191" t="s">
        <v>132</v>
      </c>
      <c r="D191">
        <v>0</v>
      </c>
    </row>
    <row r="192" spans="1:4" x14ac:dyDescent="0.25">
      <c r="A192" t="s">
        <v>153</v>
      </c>
      <c r="B192" t="s">
        <v>273</v>
      </c>
      <c r="C192" t="s">
        <v>264</v>
      </c>
      <c r="D192">
        <v>21.343</v>
      </c>
    </row>
    <row r="193" spans="1:4" x14ac:dyDescent="0.25">
      <c r="A193" t="s">
        <v>153</v>
      </c>
      <c r="B193" t="s">
        <v>273</v>
      </c>
      <c r="C193" t="s">
        <v>265</v>
      </c>
    </row>
    <row r="194" spans="1:4" x14ac:dyDescent="0.25">
      <c r="A194" t="s">
        <v>153</v>
      </c>
      <c r="B194" t="s">
        <v>273</v>
      </c>
      <c r="C194" t="s">
        <v>266</v>
      </c>
    </row>
    <row r="195" spans="1:4" x14ac:dyDescent="0.25">
      <c r="A195" t="s">
        <v>153</v>
      </c>
      <c r="B195" t="s">
        <v>273</v>
      </c>
      <c r="C195" t="s">
        <v>145</v>
      </c>
    </row>
    <row r="196" spans="1:4" x14ac:dyDescent="0.25">
      <c r="A196" t="s">
        <v>153</v>
      </c>
      <c r="B196" t="s">
        <v>273</v>
      </c>
      <c r="C196" t="s">
        <v>132</v>
      </c>
      <c r="D196">
        <v>0</v>
      </c>
    </row>
    <row r="197" spans="1:4" x14ac:dyDescent="0.25">
      <c r="A197" t="s">
        <v>151</v>
      </c>
      <c r="B197" t="s">
        <v>274</v>
      </c>
      <c r="C197" t="s">
        <v>264</v>
      </c>
      <c r="D197">
        <v>36.343000000000004</v>
      </c>
    </row>
    <row r="198" spans="1:4" x14ac:dyDescent="0.25">
      <c r="A198" t="s">
        <v>151</v>
      </c>
      <c r="B198" t="s">
        <v>274</v>
      </c>
      <c r="C198" t="s">
        <v>265</v>
      </c>
    </row>
    <row r="199" spans="1:4" x14ac:dyDescent="0.25">
      <c r="A199" t="s">
        <v>151</v>
      </c>
      <c r="B199" t="s">
        <v>274</v>
      </c>
      <c r="C199" t="s">
        <v>266</v>
      </c>
    </row>
    <row r="200" spans="1:4" x14ac:dyDescent="0.25">
      <c r="A200" t="s">
        <v>151</v>
      </c>
      <c r="B200" t="s">
        <v>274</v>
      </c>
      <c r="C200" t="s">
        <v>145</v>
      </c>
    </row>
    <row r="201" spans="1:4" x14ac:dyDescent="0.25">
      <c r="A201" t="s">
        <v>151</v>
      </c>
      <c r="B201" t="s">
        <v>274</v>
      </c>
      <c r="C201" t="s">
        <v>132</v>
      </c>
      <c r="D201">
        <v>0</v>
      </c>
    </row>
    <row r="202" spans="1:4" x14ac:dyDescent="0.25">
      <c r="A202" t="s">
        <v>152</v>
      </c>
      <c r="B202" t="s">
        <v>274</v>
      </c>
      <c r="C202" t="s">
        <v>264</v>
      </c>
      <c r="D202">
        <v>36.343000000000004</v>
      </c>
    </row>
    <row r="203" spans="1:4" x14ac:dyDescent="0.25">
      <c r="A203" t="s">
        <v>152</v>
      </c>
      <c r="B203" t="s">
        <v>274</v>
      </c>
      <c r="C203" t="s">
        <v>265</v>
      </c>
    </row>
    <row r="204" spans="1:4" x14ac:dyDescent="0.25">
      <c r="A204" t="s">
        <v>152</v>
      </c>
      <c r="B204" t="s">
        <v>274</v>
      </c>
      <c r="C204" t="s">
        <v>266</v>
      </c>
    </row>
    <row r="205" spans="1:4" x14ac:dyDescent="0.25">
      <c r="A205" t="s">
        <v>152</v>
      </c>
      <c r="B205" t="s">
        <v>274</v>
      </c>
      <c r="C205" t="s">
        <v>145</v>
      </c>
    </row>
    <row r="206" spans="1:4" x14ac:dyDescent="0.25">
      <c r="A206" t="s">
        <v>152</v>
      </c>
      <c r="B206" t="s">
        <v>274</v>
      </c>
      <c r="C206" t="s">
        <v>132</v>
      </c>
      <c r="D206">
        <v>0</v>
      </c>
    </row>
    <row r="207" spans="1:4" x14ac:dyDescent="0.25">
      <c r="A207" t="s">
        <v>153</v>
      </c>
      <c r="B207" t="s">
        <v>274</v>
      </c>
      <c r="C207" t="s">
        <v>264</v>
      </c>
      <c r="D207">
        <v>36.343000000000004</v>
      </c>
    </row>
    <row r="208" spans="1:4" x14ac:dyDescent="0.25">
      <c r="A208" t="s">
        <v>153</v>
      </c>
      <c r="B208" t="s">
        <v>274</v>
      </c>
      <c r="C208" t="s">
        <v>265</v>
      </c>
    </row>
    <row r="209" spans="1:4" x14ac:dyDescent="0.25">
      <c r="A209" t="s">
        <v>153</v>
      </c>
      <c r="B209" t="s">
        <v>274</v>
      </c>
      <c r="C209" t="s">
        <v>266</v>
      </c>
    </row>
    <row r="210" spans="1:4" x14ac:dyDescent="0.25">
      <c r="A210" t="s">
        <v>153</v>
      </c>
      <c r="B210" t="s">
        <v>274</v>
      </c>
      <c r="C210" t="s">
        <v>145</v>
      </c>
    </row>
    <row r="211" spans="1:4" x14ac:dyDescent="0.25">
      <c r="A211" t="s">
        <v>153</v>
      </c>
      <c r="B211" t="s">
        <v>274</v>
      </c>
      <c r="C211" t="s">
        <v>132</v>
      </c>
      <c r="D211">
        <v>0</v>
      </c>
    </row>
    <row r="212" spans="1:4" x14ac:dyDescent="0.25">
      <c r="A212" t="s">
        <v>151</v>
      </c>
      <c r="B212" t="s">
        <v>275</v>
      </c>
      <c r="C212" t="s">
        <v>264</v>
      </c>
      <c r="D212">
        <v>42.55</v>
      </c>
    </row>
    <row r="213" spans="1:4" x14ac:dyDescent="0.25">
      <c r="A213" t="s">
        <v>151</v>
      </c>
      <c r="B213" t="s">
        <v>275</v>
      </c>
      <c r="C213" t="s">
        <v>265</v>
      </c>
    </row>
    <row r="214" spans="1:4" x14ac:dyDescent="0.25">
      <c r="A214" t="s">
        <v>151</v>
      </c>
      <c r="B214" t="s">
        <v>275</v>
      </c>
      <c r="C214" t="s">
        <v>266</v>
      </c>
    </row>
    <row r="215" spans="1:4" x14ac:dyDescent="0.25">
      <c r="A215" t="s">
        <v>151</v>
      </c>
      <c r="B215" t="s">
        <v>275</v>
      </c>
      <c r="C215" t="s">
        <v>145</v>
      </c>
    </row>
    <row r="216" spans="1:4" x14ac:dyDescent="0.25">
      <c r="A216" t="s">
        <v>151</v>
      </c>
      <c r="B216" t="s">
        <v>275</v>
      </c>
      <c r="C216" t="s">
        <v>132</v>
      </c>
      <c r="D216">
        <v>96.358000000000004</v>
      </c>
    </row>
    <row r="217" spans="1:4" x14ac:dyDescent="0.25">
      <c r="A217" t="s">
        <v>152</v>
      </c>
      <c r="B217" t="s">
        <v>275</v>
      </c>
      <c r="C217" t="s">
        <v>264</v>
      </c>
      <c r="D217">
        <v>42.55</v>
      </c>
    </row>
    <row r="218" spans="1:4" x14ac:dyDescent="0.25">
      <c r="A218" t="s">
        <v>152</v>
      </c>
      <c r="B218" t="s">
        <v>275</v>
      </c>
      <c r="C218" t="s">
        <v>265</v>
      </c>
    </row>
    <row r="219" spans="1:4" x14ac:dyDescent="0.25">
      <c r="A219" t="s">
        <v>152</v>
      </c>
      <c r="B219" t="s">
        <v>275</v>
      </c>
      <c r="C219" t="s">
        <v>266</v>
      </c>
    </row>
    <row r="220" spans="1:4" x14ac:dyDescent="0.25">
      <c r="A220" t="s">
        <v>152</v>
      </c>
      <c r="B220" t="s">
        <v>275</v>
      </c>
      <c r="C220" t="s">
        <v>145</v>
      </c>
    </row>
    <row r="221" spans="1:4" x14ac:dyDescent="0.25">
      <c r="A221" t="s">
        <v>152</v>
      </c>
      <c r="B221" t="s">
        <v>275</v>
      </c>
      <c r="C221" t="s">
        <v>132</v>
      </c>
      <c r="D221">
        <v>96.358000000000004</v>
      </c>
    </row>
    <row r="222" spans="1:4" x14ac:dyDescent="0.25">
      <c r="A222" t="s">
        <v>153</v>
      </c>
      <c r="B222" t="s">
        <v>275</v>
      </c>
      <c r="C222" t="s">
        <v>264</v>
      </c>
      <c r="D222">
        <v>42.55</v>
      </c>
    </row>
    <row r="223" spans="1:4" x14ac:dyDescent="0.25">
      <c r="A223" t="s">
        <v>153</v>
      </c>
      <c r="B223" t="s">
        <v>275</v>
      </c>
      <c r="C223" t="s">
        <v>265</v>
      </c>
    </row>
    <row r="224" spans="1:4" x14ac:dyDescent="0.25">
      <c r="A224" t="s">
        <v>153</v>
      </c>
      <c r="B224" t="s">
        <v>275</v>
      </c>
      <c r="C224" t="s">
        <v>266</v>
      </c>
    </row>
    <row r="225" spans="1:4" x14ac:dyDescent="0.25">
      <c r="A225" t="s">
        <v>153</v>
      </c>
      <c r="B225" t="s">
        <v>275</v>
      </c>
      <c r="C225" t="s">
        <v>145</v>
      </c>
    </row>
    <row r="226" spans="1:4" x14ac:dyDescent="0.25">
      <c r="A226" t="s">
        <v>153</v>
      </c>
      <c r="B226" t="s">
        <v>275</v>
      </c>
      <c r="C226" t="s">
        <v>132</v>
      </c>
      <c r="D226">
        <v>96.358000000000004</v>
      </c>
    </row>
    <row r="227" spans="1:4" x14ac:dyDescent="0.25">
      <c r="A227" t="s">
        <v>151</v>
      </c>
      <c r="B227" t="s">
        <v>276</v>
      </c>
      <c r="C227" t="s">
        <v>264</v>
      </c>
      <c r="D227">
        <v>18.350000000000001</v>
      </c>
    </row>
    <row r="228" spans="1:4" x14ac:dyDescent="0.25">
      <c r="A228" t="s">
        <v>151</v>
      </c>
      <c r="B228" t="s">
        <v>276</v>
      </c>
      <c r="C228" t="s">
        <v>265</v>
      </c>
    </row>
    <row r="229" spans="1:4" x14ac:dyDescent="0.25">
      <c r="A229" t="s">
        <v>151</v>
      </c>
      <c r="B229" t="s">
        <v>276</v>
      </c>
      <c r="C229" t="s">
        <v>266</v>
      </c>
    </row>
    <row r="230" spans="1:4" x14ac:dyDescent="0.25">
      <c r="A230" t="s">
        <v>151</v>
      </c>
      <c r="B230" t="s">
        <v>276</v>
      </c>
      <c r="C230" t="s">
        <v>145</v>
      </c>
    </row>
    <row r="231" spans="1:4" x14ac:dyDescent="0.25">
      <c r="A231" t="s">
        <v>151</v>
      </c>
      <c r="B231" t="s">
        <v>276</v>
      </c>
      <c r="C231" t="s">
        <v>132</v>
      </c>
      <c r="D231">
        <v>66.585999999999999</v>
      </c>
    </row>
    <row r="232" spans="1:4" x14ac:dyDescent="0.25">
      <c r="A232" t="s">
        <v>152</v>
      </c>
      <c r="B232" t="s">
        <v>276</v>
      </c>
      <c r="C232" t="s">
        <v>264</v>
      </c>
      <c r="D232">
        <v>18.350000000000001</v>
      </c>
    </row>
    <row r="233" spans="1:4" x14ac:dyDescent="0.25">
      <c r="A233" t="s">
        <v>152</v>
      </c>
      <c r="B233" t="s">
        <v>276</v>
      </c>
      <c r="C233" t="s">
        <v>265</v>
      </c>
    </row>
    <row r="234" spans="1:4" x14ac:dyDescent="0.25">
      <c r="A234" t="s">
        <v>152</v>
      </c>
      <c r="B234" t="s">
        <v>276</v>
      </c>
      <c r="C234" t="s">
        <v>266</v>
      </c>
    </row>
    <row r="235" spans="1:4" x14ac:dyDescent="0.25">
      <c r="A235" t="s">
        <v>152</v>
      </c>
      <c r="B235" t="s">
        <v>276</v>
      </c>
      <c r="C235" t="s">
        <v>145</v>
      </c>
    </row>
    <row r="236" spans="1:4" x14ac:dyDescent="0.25">
      <c r="A236" t="s">
        <v>152</v>
      </c>
      <c r="B236" t="s">
        <v>276</v>
      </c>
      <c r="C236" t="s">
        <v>132</v>
      </c>
      <c r="D236">
        <v>66.585999999999999</v>
      </c>
    </row>
    <row r="237" spans="1:4" x14ac:dyDescent="0.25">
      <c r="A237" t="s">
        <v>153</v>
      </c>
      <c r="B237" t="s">
        <v>276</v>
      </c>
      <c r="C237" t="s">
        <v>264</v>
      </c>
      <c r="D237">
        <v>18.350000000000001</v>
      </c>
    </row>
    <row r="238" spans="1:4" x14ac:dyDescent="0.25">
      <c r="A238" t="s">
        <v>153</v>
      </c>
      <c r="B238" t="s">
        <v>276</v>
      </c>
      <c r="C238" t="s">
        <v>265</v>
      </c>
    </row>
    <row r="239" spans="1:4" x14ac:dyDescent="0.25">
      <c r="A239" t="s">
        <v>153</v>
      </c>
      <c r="B239" t="s">
        <v>276</v>
      </c>
      <c r="C239" t="s">
        <v>266</v>
      </c>
    </row>
    <row r="240" spans="1:4" x14ac:dyDescent="0.25">
      <c r="A240" t="s">
        <v>153</v>
      </c>
      <c r="B240" t="s">
        <v>276</v>
      </c>
      <c r="C240" t="s">
        <v>145</v>
      </c>
    </row>
    <row r="241" spans="1:4" x14ac:dyDescent="0.25">
      <c r="A241" t="s">
        <v>153</v>
      </c>
      <c r="B241" t="s">
        <v>276</v>
      </c>
      <c r="C241" t="s">
        <v>132</v>
      </c>
      <c r="D241">
        <v>66.585999999999999</v>
      </c>
    </row>
    <row r="242" spans="1:4" x14ac:dyDescent="0.25">
      <c r="A242" t="s">
        <v>151</v>
      </c>
      <c r="B242" t="s">
        <v>277</v>
      </c>
      <c r="C242" t="s">
        <v>264</v>
      </c>
      <c r="D242">
        <v>9.83</v>
      </c>
    </row>
    <row r="243" spans="1:4" x14ac:dyDescent="0.25">
      <c r="A243" t="s">
        <v>151</v>
      </c>
      <c r="B243" t="s">
        <v>277</v>
      </c>
      <c r="C243" t="s">
        <v>265</v>
      </c>
    </row>
    <row r="244" spans="1:4" x14ac:dyDescent="0.25">
      <c r="A244" t="s">
        <v>151</v>
      </c>
      <c r="B244" t="s">
        <v>277</v>
      </c>
      <c r="C244" t="s">
        <v>266</v>
      </c>
    </row>
    <row r="245" spans="1:4" x14ac:dyDescent="0.25">
      <c r="A245" t="s">
        <v>151</v>
      </c>
      <c r="B245" t="s">
        <v>277</v>
      </c>
      <c r="C245" t="s">
        <v>145</v>
      </c>
    </row>
    <row r="246" spans="1:4" x14ac:dyDescent="0.25">
      <c r="A246" t="s">
        <v>151</v>
      </c>
      <c r="B246" t="s">
        <v>277</v>
      </c>
      <c r="C246" t="s">
        <v>132</v>
      </c>
      <c r="D246">
        <v>112.8</v>
      </c>
    </row>
    <row r="247" spans="1:4" x14ac:dyDescent="0.25">
      <c r="A247" t="s">
        <v>152</v>
      </c>
      <c r="B247" t="s">
        <v>277</v>
      </c>
      <c r="C247" t="s">
        <v>264</v>
      </c>
      <c r="D247">
        <v>9.83</v>
      </c>
    </row>
    <row r="248" spans="1:4" x14ac:dyDescent="0.25">
      <c r="A248" t="s">
        <v>152</v>
      </c>
      <c r="B248" t="s">
        <v>277</v>
      </c>
      <c r="C248" t="s">
        <v>265</v>
      </c>
    </row>
    <row r="249" spans="1:4" x14ac:dyDescent="0.25">
      <c r="A249" t="s">
        <v>152</v>
      </c>
      <c r="B249" t="s">
        <v>277</v>
      </c>
      <c r="C249" t="s">
        <v>266</v>
      </c>
    </row>
    <row r="250" spans="1:4" x14ac:dyDescent="0.25">
      <c r="A250" t="s">
        <v>152</v>
      </c>
      <c r="B250" t="s">
        <v>277</v>
      </c>
      <c r="C250" t="s">
        <v>145</v>
      </c>
    </row>
    <row r="251" spans="1:4" x14ac:dyDescent="0.25">
      <c r="A251" t="s">
        <v>152</v>
      </c>
      <c r="B251" t="s">
        <v>277</v>
      </c>
      <c r="C251" t="s">
        <v>132</v>
      </c>
      <c r="D251">
        <v>112.8</v>
      </c>
    </row>
    <row r="252" spans="1:4" x14ac:dyDescent="0.25">
      <c r="A252" t="s">
        <v>153</v>
      </c>
      <c r="B252" t="s">
        <v>277</v>
      </c>
      <c r="C252" t="s">
        <v>264</v>
      </c>
      <c r="D252">
        <v>9.83</v>
      </c>
    </row>
    <row r="253" spans="1:4" x14ac:dyDescent="0.25">
      <c r="A253" t="s">
        <v>153</v>
      </c>
      <c r="B253" t="s">
        <v>277</v>
      </c>
      <c r="C253" t="s">
        <v>265</v>
      </c>
    </row>
    <row r="254" spans="1:4" x14ac:dyDescent="0.25">
      <c r="A254" t="s">
        <v>153</v>
      </c>
      <c r="B254" t="s">
        <v>277</v>
      </c>
      <c r="C254" t="s">
        <v>266</v>
      </c>
    </row>
    <row r="255" spans="1:4" x14ac:dyDescent="0.25">
      <c r="A255" t="s">
        <v>153</v>
      </c>
      <c r="B255" t="s">
        <v>277</v>
      </c>
      <c r="C255" t="s">
        <v>145</v>
      </c>
    </row>
    <row r="256" spans="1:4" x14ac:dyDescent="0.25">
      <c r="A256" t="s">
        <v>153</v>
      </c>
      <c r="B256" t="s">
        <v>277</v>
      </c>
      <c r="C256" t="s">
        <v>132</v>
      </c>
      <c r="D256">
        <v>112.8</v>
      </c>
    </row>
    <row r="257" spans="1:4" x14ac:dyDescent="0.25">
      <c r="A257" t="s">
        <v>151</v>
      </c>
      <c r="B257" t="s">
        <v>100</v>
      </c>
      <c r="C257" t="s">
        <v>264</v>
      </c>
      <c r="D257">
        <v>52.52</v>
      </c>
    </row>
    <row r="258" spans="1:4" x14ac:dyDescent="0.25">
      <c r="A258" t="s">
        <v>151</v>
      </c>
      <c r="B258" t="s">
        <v>100</v>
      </c>
      <c r="C258" t="s">
        <v>265</v>
      </c>
    </row>
    <row r="259" spans="1:4" x14ac:dyDescent="0.25">
      <c r="A259" t="s">
        <v>151</v>
      </c>
      <c r="B259" t="s">
        <v>100</v>
      </c>
      <c r="C259" t="s">
        <v>266</v>
      </c>
    </row>
    <row r="260" spans="1:4" x14ac:dyDescent="0.25">
      <c r="A260" t="s">
        <v>151</v>
      </c>
      <c r="B260" t="s">
        <v>100</v>
      </c>
      <c r="C260" t="s">
        <v>145</v>
      </c>
    </row>
    <row r="261" spans="1:4" x14ac:dyDescent="0.25">
      <c r="A261" t="s">
        <v>151</v>
      </c>
      <c r="B261" t="s">
        <v>100</v>
      </c>
      <c r="C261" t="s">
        <v>132</v>
      </c>
      <c r="D261">
        <v>7.1120000000000001</v>
      </c>
    </row>
    <row r="262" spans="1:4" x14ac:dyDescent="0.25">
      <c r="A262" t="s">
        <v>152</v>
      </c>
      <c r="B262" t="s">
        <v>100</v>
      </c>
      <c r="C262" t="s">
        <v>264</v>
      </c>
      <c r="D262">
        <v>52.52</v>
      </c>
    </row>
    <row r="263" spans="1:4" x14ac:dyDescent="0.25">
      <c r="A263" t="s">
        <v>152</v>
      </c>
      <c r="B263" t="s">
        <v>100</v>
      </c>
      <c r="C263" t="s">
        <v>265</v>
      </c>
    </row>
    <row r="264" spans="1:4" x14ac:dyDescent="0.25">
      <c r="A264" t="s">
        <v>152</v>
      </c>
      <c r="B264" t="s">
        <v>100</v>
      </c>
      <c r="C264" t="s">
        <v>266</v>
      </c>
    </row>
    <row r="265" spans="1:4" x14ac:dyDescent="0.25">
      <c r="A265" t="s">
        <v>152</v>
      </c>
      <c r="B265" t="s">
        <v>100</v>
      </c>
      <c r="C265" t="s">
        <v>145</v>
      </c>
    </row>
    <row r="266" spans="1:4" x14ac:dyDescent="0.25">
      <c r="A266" t="s">
        <v>152</v>
      </c>
      <c r="B266" t="s">
        <v>100</v>
      </c>
      <c r="C266" t="s">
        <v>132</v>
      </c>
      <c r="D266">
        <v>7.1120000000000001</v>
      </c>
    </row>
    <row r="267" spans="1:4" x14ac:dyDescent="0.25">
      <c r="A267" t="s">
        <v>153</v>
      </c>
      <c r="B267" t="s">
        <v>100</v>
      </c>
      <c r="C267" t="s">
        <v>264</v>
      </c>
      <c r="D267">
        <v>52.52</v>
      </c>
    </row>
    <row r="268" spans="1:4" x14ac:dyDescent="0.25">
      <c r="A268" t="s">
        <v>153</v>
      </c>
      <c r="B268" t="s">
        <v>100</v>
      </c>
      <c r="C268" t="s">
        <v>265</v>
      </c>
    </row>
    <row r="269" spans="1:4" x14ac:dyDescent="0.25">
      <c r="A269" t="s">
        <v>153</v>
      </c>
      <c r="B269" t="s">
        <v>100</v>
      </c>
      <c r="C269" t="s">
        <v>266</v>
      </c>
    </row>
    <row r="270" spans="1:4" x14ac:dyDescent="0.25">
      <c r="A270" t="s">
        <v>153</v>
      </c>
      <c r="B270" t="s">
        <v>100</v>
      </c>
      <c r="C270" t="s">
        <v>145</v>
      </c>
    </row>
    <row r="271" spans="1:4" x14ac:dyDescent="0.25">
      <c r="A271" t="s">
        <v>153</v>
      </c>
      <c r="B271" t="s">
        <v>100</v>
      </c>
      <c r="C271" t="s">
        <v>132</v>
      </c>
      <c r="D271">
        <v>7.1120000000000001</v>
      </c>
    </row>
    <row r="272" spans="1:4" x14ac:dyDescent="0.25">
      <c r="A272" t="s">
        <v>151</v>
      </c>
      <c r="B272" t="s">
        <v>91</v>
      </c>
      <c r="C272" t="s">
        <v>264</v>
      </c>
      <c r="D272">
        <v>13.05</v>
      </c>
    </row>
    <row r="273" spans="1:4" x14ac:dyDescent="0.25">
      <c r="A273" t="s">
        <v>151</v>
      </c>
      <c r="B273" t="s">
        <v>91</v>
      </c>
      <c r="C273" t="s">
        <v>265</v>
      </c>
    </row>
    <row r="274" spans="1:4" x14ac:dyDescent="0.25">
      <c r="A274" t="s">
        <v>151</v>
      </c>
      <c r="B274" t="s">
        <v>91</v>
      </c>
      <c r="C274" t="s">
        <v>266</v>
      </c>
    </row>
    <row r="275" spans="1:4" x14ac:dyDescent="0.25">
      <c r="A275" t="s">
        <v>151</v>
      </c>
      <c r="B275" t="s">
        <v>91</v>
      </c>
      <c r="C275" t="s">
        <v>145</v>
      </c>
    </row>
    <row r="276" spans="1:4" x14ac:dyDescent="0.25">
      <c r="A276" t="s">
        <v>151</v>
      </c>
      <c r="B276" t="s">
        <v>91</v>
      </c>
      <c r="C276" t="s">
        <v>132</v>
      </c>
      <c r="D276">
        <v>14.805999999999999</v>
      </c>
    </row>
    <row r="277" spans="1:4" x14ac:dyDescent="0.25">
      <c r="A277" t="s">
        <v>152</v>
      </c>
      <c r="B277" t="s">
        <v>91</v>
      </c>
      <c r="C277" t="s">
        <v>264</v>
      </c>
      <c r="D277">
        <v>13.05</v>
      </c>
    </row>
    <row r="278" spans="1:4" x14ac:dyDescent="0.25">
      <c r="A278" t="s">
        <v>152</v>
      </c>
      <c r="B278" t="s">
        <v>91</v>
      </c>
      <c r="C278" t="s">
        <v>265</v>
      </c>
    </row>
    <row r="279" spans="1:4" x14ac:dyDescent="0.25">
      <c r="A279" t="s">
        <v>152</v>
      </c>
      <c r="B279" t="s">
        <v>91</v>
      </c>
      <c r="C279" t="s">
        <v>266</v>
      </c>
    </row>
    <row r="280" spans="1:4" x14ac:dyDescent="0.25">
      <c r="A280" t="s">
        <v>152</v>
      </c>
      <c r="B280" t="s">
        <v>91</v>
      </c>
      <c r="C280" t="s">
        <v>145</v>
      </c>
    </row>
    <row r="281" spans="1:4" x14ac:dyDescent="0.25">
      <c r="A281" t="s">
        <v>152</v>
      </c>
      <c r="B281" t="s">
        <v>91</v>
      </c>
      <c r="C281" t="s">
        <v>132</v>
      </c>
      <c r="D281">
        <v>14.805999999999999</v>
      </c>
    </row>
    <row r="282" spans="1:4" x14ac:dyDescent="0.25">
      <c r="A282" t="s">
        <v>153</v>
      </c>
      <c r="B282" t="s">
        <v>91</v>
      </c>
      <c r="C282" t="s">
        <v>264</v>
      </c>
      <c r="D282">
        <v>13.05</v>
      </c>
    </row>
    <row r="283" spans="1:4" x14ac:dyDescent="0.25">
      <c r="A283" t="s">
        <v>153</v>
      </c>
      <c r="B283" t="s">
        <v>91</v>
      </c>
      <c r="C283" t="s">
        <v>265</v>
      </c>
    </row>
    <row r="284" spans="1:4" x14ac:dyDescent="0.25">
      <c r="A284" t="s">
        <v>153</v>
      </c>
      <c r="B284" t="s">
        <v>91</v>
      </c>
      <c r="C284" t="s">
        <v>266</v>
      </c>
    </row>
    <row r="285" spans="1:4" x14ac:dyDescent="0.25">
      <c r="A285" t="s">
        <v>153</v>
      </c>
      <c r="B285" t="s">
        <v>91</v>
      </c>
      <c r="C285" t="s">
        <v>145</v>
      </c>
    </row>
    <row r="286" spans="1:4" x14ac:dyDescent="0.25">
      <c r="A286" t="s">
        <v>153</v>
      </c>
      <c r="B286" t="s">
        <v>91</v>
      </c>
      <c r="C286" t="s">
        <v>132</v>
      </c>
      <c r="D286">
        <v>14.805999999999999</v>
      </c>
    </row>
    <row r="287" spans="1:4" x14ac:dyDescent="0.25">
      <c r="A287" t="s">
        <v>151</v>
      </c>
      <c r="B287" t="s">
        <v>278</v>
      </c>
      <c r="C287" t="s">
        <v>264</v>
      </c>
      <c r="D287">
        <v>50</v>
      </c>
    </row>
    <row r="288" spans="1:4" x14ac:dyDescent="0.25">
      <c r="A288" t="s">
        <v>151</v>
      </c>
      <c r="B288" t="s">
        <v>278</v>
      </c>
      <c r="C288" t="s">
        <v>265</v>
      </c>
    </row>
    <row r="289" spans="1:4" x14ac:dyDescent="0.25">
      <c r="A289" t="s">
        <v>151</v>
      </c>
      <c r="B289" t="s">
        <v>278</v>
      </c>
      <c r="C289" t="s">
        <v>266</v>
      </c>
    </row>
    <row r="290" spans="1:4" x14ac:dyDescent="0.25">
      <c r="A290" t="s">
        <v>151</v>
      </c>
      <c r="B290" t="s">
        <v>278</v>
      </c>
      <c r="C290" t="s">
        <v>145</v>
      </c>
    </row>
    <row r="291" spans="1:4" x14ac:dyDescent="0.25">
      <c r="A291" t="s">
        <v>151</v>
      </c>
      <c r="B291" t="s">
        <v>278</v>
      </c>
      <c r="C291" t="s">
        <v>132</v>
      </c>
      <c r="D291">
        <v>3.3959999999999999</v>
      </c>
    </row>
    <row r="292" spans="1:4" x14ac:dyDescent="0.25">
      <c r="A292" t="s">
        <v>152</v>
      </c>
      <c r="B292" t="s">
        <v>278</v>
      </c>
      <c r="C292" t="s">
        <v>264</v>
      </c>
      <c r="D292">
        <v>50</v>
      </c>
    </row>
    <row r="293" spans="1:4" x14ac:dyDescent="0.25">
      <c r="A293" t="s">
        <v>152</v>
      </c>
      <c r="B293" t="s">
        <v>278</v>
      </c>
      <c r="C293" t="s">
        <v>265</v>
      </c>
    </row>
    <row r="294" spans="1:4" x14ac:dyDescent="0.25">
      <c r="A294" t="s">
        <v>152</v>
      </c>
      <c r="B294" t="s">
        <v>278</v>
      </c>
      <c r="C294" t="s">
        <v>266</v>
      </c>
    </row>
    <row r="295" spans="1:4" x14ac:dyDescent="0.25">
      <c r="A295" t="s">
        <v>152</v>
      </c>
      <c r="B295" t="s">
        <v>278</v>
      </c>
      <c r="C295" t="s">
        <v>145</v>
      </c>
    </row>
    <row r="296" spans="1:4" x14ac:dyDescent="0.25">
      <c r="A296" t="s">
        <v>152</v>
      </c>
      <c r="B296" t="s">
        <v>278</v>
      </c>
      <c r="C296" t="s">
        <v>132</v>
      </c>
      <c r="D296">
        <v>3.3959999999999999</v>
      </c>
    </row>
    <row r="297" spans="1:4" x14ac:dyDescent="0.25">
      <c r="A297" t="s">
        <v>153</v>
      </c>
      <c r="B297" t="s">
        <v>278</v>
      </c>
      <c r="C297" t="s">
        <v>264</v>
      </c>
      <c r="D297">
        <v>50</v>
      </c>
    </row>
    <row r="298" spans="1:4" x14ac:dyDescent="0.25">
      <c r="A298" t="s">
        <v>153</v>
      </c>
      <c r="B298" t="s">
        <v>278</v>
      </c>
      <c r="C298" t="s">
        <v>265</v>
      </c>
    </row>
    <row r="299" spans="1:4" x14ac:dyDescent="0.25">
      <c r="A299" t="s">
        <v>153</v>
      </c>
      <c r="B299" t="s">
        <v>278</v>
      </c>
      <c r="C299" t="s">
        <v>266</v>
      </c>
    </row>
    <row r="300" spans="1:4" x14ac:dyDescent="0.25">
      <c r="A300" t="s">
        <v>153</v>
      </c>
      <c r="B300" t="s">
        <v>278</v>
      </c>
      <c r="C300" t="s">
        <v>145</v>
      </c>
    </row>
    <row r="301" spans="1:4" x14ac:dyDescent="0.25">
      <c r="A301" t="s">
        <v>153</v>
      </c>
      <c r="B301" t="s">
        <v>278</v>
      </c>
      <c r="C301" t="s">
        <v>132</v>
      </c>
      <c r="D301">
        <v>3.3959999999999999</v>
      </c>
    </row>
    <row r="302" spans="1:4" x14ac:dyDescent="0.25">
      <c r="A302" t="s">
        <v>151</v>
      </c>
      <c r="B302" t="s">
        <v>279</v>
      </c>
      <c r="C302" t="s">
        <v>264</v>
      </c>
      <c r="D302">
        <v>15</v>
      </c>
    </row>
    <row r="303" spans="1:4" x14ac:dyDescent="0.25">
      <c r="A303" t="s">
        <v>151</v>
      </c>
      <c r="B303" t="s">
        <v>279</v>
      </c>
      <c r="C303" t="s">
        <v>265</v>
      </c>
    </row>
    <row r="304" spans="1:4" x14ac:dyDescent="0.25">
      <c r="A304" t="s">
        <v>151</v>
      </c>
      <c r="B304" t="s">
        <v>279</v>
      </c>
      <c r="C304" t="s">
        <v>266</v>
      </c>
    </row>
    <row r="305" spans="1:4" x14ac:dyDescent="0.25">
      <c r="A305" t="s">
        <v>151</v>
      </c>
      <c r="B305" t="s">
        <v>279</v>
      </c>
      <c r="C305" t="s">
        <v>145</v>
      </c>
    </row>
    <row r="306" spans="1:4" x14ac:dyDescent="0.25">
      <c r="A306" t="s">
        <v>151</v>
      </c>
      <c r="B306" t="s">
        <v>279</v>
      </c>
      <c r="C306" t="s">
        <v>132</v>
      </c>
      <c r="D306">
        <v>287.67399999999998</v>
      </c>
    </row>
    <row r="307" spans="1:4" x14ac:dyDescent="0.25">
      <c r="A307" t="s">
        <v>152</v>
      </c>
      <c r="B307" t="s">
        <v>279</v>
      </c>
      <c r="C307" t="s">
        <v>264</v>
      </c>
      <c r="D307">
        <v>15</v>
      </c>
    </row>
    <row r="308" spans="1:4" x14ac:dyDescent="0.25">
      <c r="A308" t="s">
        <v>152</v>
      </c>
      <c r="B308" t="s">
        <v>279</v>
      </c>
      <c r="C308" t="s">
        <v>265</v>
      </c>
    </row>
    <row r="309" spans="1:4" x14ac:dyDescent="0.25">
      <c r="A309" t="s">
        <v>152</v>
      </c>
      <c r="B309" t="s">
        <v>279</v>
      </c>
      <c r="C309" t="s">
        <v>266</v>
      </c>
    </row>
    <row r="310" spans="1:4" x14ac:dyDescent="0.25">
      <c r="A310" t="s">
        <v>152</v>
      </c>
      <c r="B310" t="s">
        <v>279</v>
      </c>
      <c r="C310" t="s">
        <v>145</v>
      </c>
    </row>
    <row r="311" spans="1:4" x14ac:dyDescent="0.25">
      <c r="A311" t="s">
        <v>152</v>
      </c>
      <c r="B311" t="s">
        <v>279</v>
      </c>
      <c r="C311" t="s">
        <v>132</v>
      </c>
      <c r="D311">
        <v>287.67399999999998</v>
      </c>
    </row>
    <row r="312" spans="1:4" x14ac:dyDescent="0.25">
      <c r="A312" t="s">
        <v>153</v>
      </c>
      <c r="B312" t="s">
        <v>279</v>
      </c>
      <c r="C312" t="s">
        <v>264</v>
      </c>
      <c r="D312">
        <v>15</v>
      </c>
    </row>
    <row r="313" spans="1:4" x14ac:dyDescent="0.25">
      <c r="A313" t="s">
        <v>153</v>
      </c>
      <c r="B313" t="s">
        <v>279</v>
      </c>
      <c r="C313" t="s">
        <v>265</v>
      </c>
    </row>
    <row r="314" spans="1:4" x14ac:dyDescent="0.25">
      <c r="A314" t="s">
        <v>153</v>
      </c>
      <c r="B314" t="s">
        <v>279</v>
      </c>
      <c r="C314" t="s">
        <v>266</v>
      </c>
    </row>
    <row r="315" spans="1:4" x14ac:dyDescent="0.25">
      <c r="A315" t="s">
        <v>153</v>
      </c>
      <c r="B315" t="s">
        <v>279</v>
      </c>
      <c r="C315" t="s">
        <v>145</v>
      </c>
    </row>
    <row r="316" spans="1:4" x14ac:dyDescent="0.25">
      <c r="A316" t="s">
        <v>153</v>
      </c>
      <c r="B316" t="s">
        <v>279</v>
      </c>
      <c r="C316" t="s">
        <v>132</v>
      </c>
      <c r="D316">
        <v>287.67399999999998</v>
      </c>
    </row>
    <row r="317" spans="1:4" x14ac:dyDescent="0.25">
      <c r="A317" t="s">
        <v>151</v>
      </c>
      <c r="B317" t="s">
        <v>280</v>
      </c>
      <c r="C317" t="s">
        <v>264</v>
      </c>
      <c r="D317">
        <v>10</v>
      </c>
    </row>
    <row r="318" spans="1:4" x14ac:dyDescent="0.25">
      <c r="A318" t="s">
        <v>151</v>
      </c>
      <c r="B318" t="s">
        <v>280</v>
      </c>
      <c r="C318" t="s">
        <v>265</v>
      </c>
    </row>
    <row r="319" spans="1:4" x14ac:dyDescent="0.25">
      <c r="A319" t="s">
        <v>151</v>
      </c>
      <c r="B319" t="s">
        <v>280</v>
      </c>
      <c r="C319" t="s">
        <v>266</v>
      </c>
    </row>
    <row r="320" spans="1:4" x14ac:dyDescent="0.25">
      <c r="A320" t="s">
        <v>151</v>
      </c>
      <c r="B320" t="s">
        <v>280</v>
      </c>
      <c r="C320" t="s">
        <v>145</v>
      </c>
    </row>
    <row r="321" spans="1:4" x14ac:dyDescent="0.25">
      <c r="A321" t="s">
        <v>151</v>
      </c>
      <c r="B321" t="s">
        <v>280</v>
      </c>
      <c r="C321" t="s">
        <v>132</v>
      </c>
      <c r="D321">
        <v>921.67899999999997</v>
      </c>
    </row>
    <row r="322" spans="1:4" x14ac:dyDescent="0.25">
      <c r="A322" t="s">
        <v>152</v>
      </c>
      <c r="B322" t="s">
        <v>280</v>
      </c>
      <c r="C322" t="s">
        <v>264</v>
      </c>
      <c r="D322">
        <v>10</v>
      </c>
    </row>
    <row r="323" spans="1:4" x14ac:dyDescent="0.25">
      <c r="A323" t="s">
        <v>152</v>
      </c>
      <c r="B323" t="s">
        <v>280</v>
      </c>
      <c r="C323" t="s">
        <v>265</v>
      </c>
    </row>
    <row r="324" spans="1:4" x14ac:dyDescent="0.25">
      <c r="A324" t="s">
        <v>152</v>
      </c>
      <c r="B324" t="s">
        <v>280</v>
      </c>
      <c r="C324" t="s">
        <v>266</v>
      </c>
    </row>
    <row r="325" spans="1:4" x14ac:dyDescent="0.25">
      <c r="A325" t="s">
        <v>152</v>
      </c>
      <c r="B325" t="s">
        <v>280</v>
      </c>
      <c r="C325" t="s">
        <v>145</v>
      </c>
    </row>
    <row r="326" spans="1:4" x14ac:dyDescent="0.25">
      <c r="A326" t="s">
        <v>152</v>
      </c>
      <c r="B326" t="s">
        <v>280</v>
      </c>
      <c r="C326" t="s">
        <v>132</v>
      </c>
      <c r="D326">
        <v>921.67899999999997</v>
      </c>
    </row>
    <row r="327" spans="1:4" x14ac:dyDescent="0.25">
      <c r="A327" t="s">
        <v>153</v>
      </c>
      <c r="B327" t="s">
        <v>280</v>
      </c>
      <c r="C327" t="s">
        <v>264</v>
      </c>
      <c r="D327">
        <v>10</v>
      </c>
    </row>
    <row r="328" spans="1:4" x14ac:dyDescent="0.25">
      <c r="A328" t="s">
        <v>153</v>
      </c>
      <c r="B328" t="s">
        <v>280</v>
      </c>
      <c r="C328" t="s">
        <v>265</v>
      </c>
    </row>
    <row r="329" spans="1:4" x14ac:dyDescent="0.25">
      <c r="A329" t="s">
        <v>153</v>
      </c>
      <c r="B329" t="s">
        <v>280</v>
      </c>
      <c r="C329" t="s">
        <v>266</v>
      </c>
    </row>
    <row r="330" spans="1:4" x14ac:dyDescent="0.25">
      <c r="A330" t="s">
        <v>153</v>
      </c>
      <c r="B330" t="s">
        <v>280</v>
      </c>
      <c r="C330" t="s">
        <v>145</v>
      </c>
    </row>
    <row r="331" spans="1:4" x14ac:dyDescent="0.25">
      <c r="A331" t="s">
        <v>153</v>
      </c>
      <c r="B331" t="s">
        <v>280</v>
      </c>
      <c r="C331" t="s">
        <v>132</v>
      </c>
      <c r="D331">
        <v>921.67899999999997</v>
      </c>
    </row>
    <row r="332" spans="1:4" x14ac:dyDescent="0.25">
      <c r="A332" t="s">
        <v>151</v>
      </c>
      <c r="B332" t="s">
        <v>281</v>
      </c>
      <c r="C332" t="s">
        <v>264</v>
      </c>
      <c r="D332">
        <v>10</v>
      </c>
    </row>
    <row r="333" spans="1:4" x14ac:dyDescent="0.25">
      <c r="A333" t="s">
        <v>151</v>
      </c>
      <c r="B333" t="s">
        <v>281</v>
      </c>
      <c r="C333" t="s">
        <v>265</v>
      </c>
    </row>
    <row r="334" spans="1:4" x14ac:dyDescent="0.25">
      <c r="A334" t="s">
        <v>151</v>
      </c>
      <c r="B334" t="s">
        <v>281</v>
      </c>
      <c r="C334" t="s">
        <v>266</v>
      </c>
    </row>
    <row r="335" spans="1:4" x14ac:dyDescent="0.25">
      <c r="A335" t="s">
        <v>151</v>
      </c>
      <c r="B335" t="s">
        <v>281</v>
      </c>
      <c r="C335" t="s">
        <v>145</v>
      </c>
    </row>
    <row r="336" spans="1:4" x14ac:dyDescent="0.25">
      <c r="A336" t="s">
        <v>151</v>
      </c>
      <c r="B336" t="s">
        <v>281</v>
      </c>
      <c r="C336" t="s">
        <v>132</v>
      </c>
      <c r="D336">
        <v>503.88799999999998</v>
      </c>
    </row>
    <row r="337" spans="1:4" x14ac:dyDescent="0.25">
      <c r="A337" t="s">
        <v>152</v>
      </c>
      <c r="B337" t="s">
        <v>281</v>
      </c>
      <c r="C337" t="s">
        <v>264</v>
      </c>
      <c r="D337">
        <v>10</v>
      </c>
    </row>
    <row r="338" spans="1:4" x14ac:dyDescent="0.25">
      <c r="A338" t="s">
        <v>152</v>
      </c>
      <c r="B338" t="s">
        <v>281</v>
      </c>
      <c r="C338" t="s">
        <v>265</v>
      </c>
    </row>
    <row r="339" spans="1:4" x14ac:dyDescent="0.25">
      <c r="A339" t="s">
        <v>152</v>
      </c>
      <c r="B339" t="s">
        <v>281</v>
      </c>
      <c r="C339" t="s">
        <v>266</v>
      </c>
    </row>
    <row r="340" spans="1:4" x14ac:dyDescent="0.25">
      <c r="A340" t="s">
        <v>152</v>
      </c>
      <c r="B340" t="s">
        <v>281</v>
      </c>
      <c r="C340" t="s">
        <v>145</v>
      </c>
    </row>
    <row r="341" spans="1:4" x14ac:dyDescent="0.25">
      <c r="A341" t="s">
        <v>152</v>
      </c>
      <c r="B341" t="s">
        <v>281</v>
      </c>
      <c r="C341" t="s">
        <v>132</v>
      </c>
      <c r="D341">
        <v>503.88799999999998</v>
      </c>
    </row>
    <row r="342" spans="1:4" x14ac:dyDescent="0.25">
      <c r="A342" t="s">
        <v>153</v>
      </c>
      <c r="B342" t="s">
        <v>281</v>
      </c>
      <c r="C342" t="s">
        <v>264</v>
      </c>
      <c r="D342">
        <v>10</v>
      </c>
    </row>
    <row r="343" spans="1:4" x14ac:dyDescent="0.25">
      <c r="A343" t="s">
        <v>153</v>
      </c>
      <c r="B343" t="s">
        <v>281</v>
      </c>
      <c r="C343" t="s">
        <v>265</v>
      </c>
    </row>
    <row r="344" spans="1:4" x14ac:dyDescent="0.25">
      <c r="A344" t="s">
        <v>153</v>
      </c>
      <c r="B344" t="s">
        <v>281</v>
      </c>
      <c r="C344" t="s">
        <v>266</v>
      </c>
    </row>
    <row r="345" spans="1:4" x14ac:dyDescent="0.25">
      <c r="A345" t="s">
        <v>153</v>
      </c>
      <c r="B345" t="s">
        <v>281</v>
      </c>
      <c r="C345" t="s">
        <v>145</v>
      </c>
    </row>
    <row r="346" spans="1:4" x14ac:dyDescent="0.25">
      <c r="A346" t="s">
        <v>153</v>
      </c>
      <c r="B346" t="s">
        <v>281</v>
      </c>
      <c r="C346" t="s">
        <v>132</v>
      </c>
      <c r="D346">
        <v>503.88799999999998</v>
      </c>
    </row>
  </sheetData>
  <autoFilter ref="A1:D346" xr:uid="{4D45AA73-608A-47C5-BDC1-A448A6C42A8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97657-CBE5-4411-876F-D67B21CD28D3}">
  <dimension ref="A1:F126"/>
  <sheetViews>
    <sheetView workbookViewId="0">
      <selection activeCell="C124" sqref="C124"/>
    </sheetView>
  </sheetViews>
  <sheetFormatPr defaultRowHeight="15" x14ac:dyDescent="0.25"/>
  <cols>
    <col min="1" max="1" width="12.42578125" bestFit="1" customWidth="1"/>
    <col min="6" max="6" width="11" bestFit="1" customWidth="1"/>
  </cols>
  <sheetData>
    <row r="1" spans="1:6" x14ac:dyDescent="0.25">
      <c r="A1" t="s">
        <v>306</v>
      </c>
      <c r="B1" t="s">
        <v>344</v>
      </c>
      <c r="C1" t="s">
        <v>345</v>
      </c>
    </row>
    <row r="2" spans="1:6" x14ac:dyDescent="0.25">
      <c r="A2" t="s">
        <v>282</v>
      </c>
      <c r="B2" t="s">
        <v>129</v>
      </c>
      <c r="F2" s="5"/>
    </row>
    <row r="3" spans="1:6" x14ac:dyDescent="0.25">
      <c r="A3" t="s">
        <v>282</v>
      </c>
      <c r="B3" t="s">
        <v>130</v>
      </c>
      <c r="F3" s="5"/>
    </row>
    <row r="4" spans="1:6" x14ac:dyDescent="0.25">
      <c r="A4" t="s">
        <v>282</v>
      </c>
      <c r="B4" t="s">
        <v>131</v>
      </c>
      <c r="F4" s="5"/>
    </row>
    <row r="5" spans="1:6" x14ac:dyDescent="0.25">
      <c r="A5" t="s">
        <v>282</v>
      </c>
      <c r="B5" t="s">
        <v>145</v>
      </c>
      <c r="C5">
        <v>700</v>
      </c>
      <c r="F5" s="5"/>
    </row>
    <row r="6" spans="1:6" x14ac:dyDescent="0.25">
      <c r="A6" t="s">
        <v>282</v>
      </c>
      <c r="B6" t="s">
        <v>132</v>
      </c>
      <c r="C6" s="5">
        <v>1000000000</v>
      </c>
      <c r="F6" s="5"/>
    </row>
    <row r="7" spans="1:6" x14ac:dyDescent="0.25">
      <c r="A7" t="s">
        <v>283</v>
      </c>
      <c r="B7" t="s">
        <v>129</v>
      </c>
      <c r="F7" s="5"/>
    </row>
    <row r="8" spans="1:6" x14ac:dyDescent="0.25">
      <c r="A8" t="s">
        <v>283</v>
      </c>
      <c r="B8" t="s">
        <v>130</v>
      </c>
      <c r="F8" s="5"/>
    </row>
    <row r="9" spans="1:6" x14ac:dyDescent="0.25">
      <c r="A9" t="s">
        <v>283</v>
      </c>
      <c r="B9" t="s">
        <v>131</v>
      </c>
      <c r="F9" s="5"/>
    </row>
    <row r="10" spans="1:6" x14ac:dyDescent="0.25">
      <c r="A10" t="s">
        <v>283</v>
      </c>
      <c r="B10" t="s">
        <v>145</v>
      </c>
      <c r="C10">
        <v>100</v>
      </c>
      <c r="F10" s="5"/>
    </row>
    <row r="11" spans="1:6" x14ac:dyDescent="0.25">
      <c r="A11" t="s">
        <v>283</v>
      </c>
      <c r="B11" t="s">
        <v>132</v>
      </c>
      <c r="C11" s="5">
        <v>1000000000</v>
      </c>
      <c r="F11" s="5"/>
    </row>
    <row r="12" spans="1:6" x14ac:dyDescent="0.25">
      <c r="A12" t="s">
        <v>284</v>
      </c>
      <c r="B12" t="s">
        <v>129</v>
      </c>
      <c r="F12" s="5"/>
    </row>
    <row r="13" spans="1:6" x14ac:dyDescent="0.25">
      <c r="A13" t="s">
        <v>284</v>
      </c>
      <c r="B13" t="s">
        <v>130</v>
      </c>
      <c r="F13" s="5"/>
    </row>
    <row r="14" spans="1:6" x14ac:dyDescent="0.25">
      <c r="A14" t="s">
        <v>284</v>
      </c>
      <c r="B14" t="s">
        <v>131</v>
      </c>
      <c r="F14" s="5"/>
    </row>
    <row r="15" spans="1:6" x14ac:dyDescent="0.25">
      <c r="A15" t="s">
        <v>284</v>
      </c>
      <c r="B15" t="s">
        <v>145</v>
      </c>
      <c r="C15">
        <v>40</v>
      </c>
      <c r="F15" s="5"/>
    </row>
    <row r="16" spans="1:6" x14ac:dyDescent="0.25">
      <c r="A16" t="s">
        <v>284</v>
      </c>
      <c r="B16" t="s">
        <v>132</v>
      </c>
      <c r="C16" s="5">
        <v>1000000000</v>
      </c>
      <c r="F16" s="5"/>
    </row>
    <row r="17" spans="1:6" x14ac:dyDescent="0.25">
      <c r="A17" t="s">
        <v>101</v>
      </c>
      <c r="B17" t="s">
        <v>129</v>
      </c>
      <c r="C17">
        <v>1</v>
      </c>
      <c r="F17" s="5"/>
    </row>
    <row r="18" spans="1:6" x14ac:dyDescent="0.25">
      <c r="A18" t="s">
        <v>101</v>
      </c>
      <c r="B18" t="s">
        <v>130</v>
      </c>
      <c r="F18" s="5"/>
    </row>
    <row r="19" spans="1:6" x14ac:dyDescent="0.25">
      <c r="A19" t="s">
        <v>101</v>
      </c>
      <c r="B19" t="s">
        <v>131</v>
      </c>
      <c r="C19">
        <v>-999</v>
      </c>
      <c r="F19" s="5"/>
    </row>
    <row r="20" spans="1:6" x14ac:dyDescent="0.25">
      <c r="A20" t="s">
        <v>101</v>
      </c>
      <c r="B20" t="s">
        <v>145</v>
      </c>
      <c r="F20" s="5"/>
    </row>
    <row r="21" spans="1:6" x14ac:dyDescent="0.25">
      <c r="A21" t="s">
        <v>101</v>
      </c>
      <c r="B21" t="s">
        <v>132</v>
      </c>
      <c r="C21" s="5">
        <v>1000000000</v>
      </c>
      <c r="F21" s="5"/>
    </row>
    <row r="22" spans="1:6" x14ac:dyDescent="0.25">
      <c r="A22" t="s">
        <v>285</v>
      </c>
      <c r="B22" t="s">
        <v>129</v>
      </c>
      <c r="C22">
        <v>1</v>
      </c>
      <c r="F22" s="5"/>
    </row>
    <row r="23" spans="1:6" x14ac:dyDescent="0.25">
      <c r="A23" t="s">
        <v>285</v>
      </c>
      <c r="B23" t="s">
        <v>130</v>
      </c>
      <c r="F23" s="5"/>
    </row>
    <row r="24" spans="1:6" x14ac:dyDescent="0.25">
      <c r="A24" t="s">
        <v>285</v>
      </c>
      <c r="B24" t="s">
        <v>131</v>
      </c>
      <c r="C24">
        <v>-999</v>
      </c>
      <c r="F24" s="5"/>
    </row>
    <row r="25" spans="1:6" x14ac:dyDescent="0.25">
      <c r="A25" t="s">
        <v>285</v>
      </c>
      <c r="B25" t="s">
        <v>145</v>
      </c>
      <c r="F25" s="5"/>
    </row>
    <row r="26" spans="1:6" x14ac:dyDescent="0.25">
      <c r="A26" t="s">
        <v>285</v>
      </c>
      <c r="B26" t="s">
        <v>132</v>
      </c>
      <c r="C26" s="5">
        <v>1000000000</v>
      </c>
      <c r="F26" s="5"/>
    </row>
    <row r="27" spans="1:6" x14ac:dyDescent="0.25">
      <c r="A27" t="s">
        <v>286</v>
      </c>
      <c r="B27" t="s">
        <v>129</v>
      </c>
      <c r="C27">
        <v>1E-4</v>
      </c>
    </row>
    <row r="28" spans="1:6" x14ac:dyDescent="0.25">
      <c r="A28" t="s">
        <v>286</v>
      </c>
      <c r="B28" t="s">
        <v>130</v>
      </c>
    </row>
    <row r="29" spans="1:6" x14ac:dyDescent="0.25">
      <c r="A29" t="s">
        <v>286</v>
      </c>
      <c r="B29" t="s">
        <v>131</v>
      </c>
      <c r="C29">
        <v>-999</v>
      </c>
    </row>
    <row r="30" spans="1:6" x14ac:dyDescent="0.25">
      <c r="A30" t="s">
        <v>286</v>
      </c>
      <c r="B30" t="s">
        <v>145</v>
      </c>
    </row>
    <row r="31" spans="1:6" x14ac:dyDescent="0.25">
      <c r="A31" t="s">
        <v>286</v>
      </c>
      <c r="B31" t="s">
        <v>132</v>
      </c>
      <c r="C31" s="5">
        <v>1000000000</v>
      </c>
    </row>
    <row r="32" spans="1:6" x14ac:dyDescent="0.25">
      <c r="A32" t="s">
        <v>287</v>
      </c>
      <c r="B32" t="s">
        <v>129</v>
      </c>
      <c r="C32">
        <v>1</v>
      </c>
    </row>
    <row r="33" spans="1:3" x14ac:dyDescent="0.25">
      <c r="A33" t="s">
        <v>287</v>
      </c>
      <c r="B33" t="s">
        <v>130</v>
      </c>
    </row>
    <row r="34" spans="1:3" x14ac:dyDescent="0.25">
      <c r="A34" t="s">
        <v>287</v>
      </c>
      <c r="B34" t="s">
        <v>131</v>
      </c>
      <c r="C34">
        <v>-999</v>
      </c>
    </row>
    <row r="35" spans="1:3" x14ac:dyDescent="0.25">
      <c r="A35" t="s">
        <v>287</v>
      </c>
      <c r="B35" t="s">
        <v>145</v>
      </c>
    </row>
    <row r="36" spans="1:3" x14ac:dyDescent="0.25">
      <c r="A36" t="s">
        <v>287</v>
      </c>
      <c r="B36" t="s">
        <v>132</v>
      </c>
      <c r="C36" s="5">
        <v>1000000000</v>
      </c>
    </row>
    <row r="37" spans="1:3" x14ac:dyDescent="0.25">
      <c r="A37" t="s">
        <v>288</v>
      </c>
      <c r="B37" t="s">
        <v>129</v>
      </c>
      <c r="C37">
        <v>0.13800000000000001</v>
      </c>
    </row>
    <row r="38" spans="1:3" x14ac:dyDescent="0.25">
      <c r="A38" t="s">
        <v>288</v>
      </c>
      <c r="B38" t="s">
        <v>130</v>
      </c>
    </row>
    <row r="39" spans="1:3" x14ac:dyDescent="0.25">
      <c r="A39" t="s">
        <v>288</v>
      </c>
      <c r="B39" t="s">
        <v>131</v>
      </c>
      <c r="C39">
        <v>-999</v>
      </c>
    </row>
    <row r="40" spans="1:3" x14ac:dyDescent="0.25">
      <c r="A40" t="s">
        <v>288</v>
      </c>
      <c r="B40" t="s">
        <v>145</v>
      </c>
    </row>
    <row r="41" spans="1:3" x14ac:dyDescent="0.25">
      <c r="A41" t="s">
        <v>288</v>
      </c>
      <c r="B41" t="s">
        <v>132</v>
      </c>
      <c r="C41" s="5">
        <v>1000000000</v>
      </c>
    </row>
    <row r="42" spans="1:3" x14ac:dyDescent="0.25">
      <c r="A42" t="s">
        <v>289</v>
      </c>
      <c r="B42" t="s">
        <v>129</v>
      </c>
      <c r="C42">
        <v>0.5</v>
      </c>
    </row>
    <row r="43" spans="1:3" x14ac:dyDescent="0.25">
      <c r="A43" t="s">
        <v>289</v>
      </c>
      <c r="B43" t="s">
        <v>130</v>
      </c>
    </row>
    <row r="44" spans="1:3" x14ac:dyDescent="0.25">
      <c r="A44" t="s">
        <v>289</v>
      </c>
      <c r="B44" t="s">
        <v>131</v>
      </c>
      <c r="C44">
        <v>-999</v>
      </c>
    </row>
    <row r="45" spans="1:3" x14ac:dyDescent="0.25">
      <c r="A45" t="s">
        <v>289</v>
      </c>
      <c r="B45" t="s">
        <v>145</v>
      </c>
    </row>
    <row r="46" spans="1:3" x14ac:dyDescent="0.25">
      <c r="A46" t="s">
        <v>289</v>
      </c>
      <c r="B46" t="s">
        <v>132</v>
      </c>
      <c r="C46" s="5">
        <v>1000000000</v>
      </c>
    </row>
    <row r="47" spans="1:3" x14ac:dyDescent="0.25">
      <c r="A47" t="s">
        <v>290</v>
      </c>
      <c r="B47" t="s">
        <v>129</v>
      </c>
      <c r="C47">
        <v>9.0999999999999998E-2</v>
      </c>
    </row>
    <row r="48" spans="1:3" x14ac:dyDescent="0.25">
      <c r="A48" t="s">
        <v>290</v>
      </c>
      <c r="B48" t="s">
        <v>130</v>
      </c>
    </row>
    <row r="49" spans="1:3" x14ac:dyDescent="0.25">
      <c r="A49" t="s">
        <v>290</v>
      </c>
      <c r="B49" t="s">
        <v>131</v>
      </c>
      <c r="C49">
        <v>-999</v>
      </c>
    </row>
    <row r="50" spans="1:3" x14ac:dyDescent="0.25">
      <c r="A50" t="s">
        <v>290</v>
      </c>
      <c r="B50" t="s">
        <v>145</v>
      </c>
    </row>
    <row r="51" spans="1:3" x14ac:dyDescent="0.25">
      <c r="A51" t="s">
        <v>290</v>
      </c>
      <c r="B51" t="s">
        <v>132</v>
      </c>
      <c r="C51" s="5">
        <v>1000000000</v>
      </c>
    </row>
    <row r="52" spans="1:3" x14ac:dyDescent="0.25">
      <c r="A52" t="s">
        <v>291</v>
      </c>
      <c r="B52" t="s">
        <v>129</v>
      </c>
      <c r="C52">
        <v>2.1</v>
      </c>
    </row>
    <row r="53" spans="1:3" x14ac:dyDescent="0.25">
      <c r="A53" t="s">
        <v>291</v>
      </c>
      <c r="B53" t="s">
        <v>130</v>
      </c>
    </row>
    <row r="54" spans="1:3" x14ac:dyDescent="0.25">
      <c r="A54" t="s">
        <v>291</v>
      </c>
      <c r="B54" t="s">
        <v>131</v>
      </c>
      <c r="C54">
        <v>-999</v>
      </c>
    </row>
    <row r="55" spans="1:3" x14ac:dyDescent="0.25">
      <c r="A55" t="s">
        <v>291</v>
      </c>
      <c r="B55" t="s">
        <v>145</v>
      </c>
    </row>
    <row r="56" spans="1:3" x14ac:dyDescent="0.25">
      <c r="A56" t="s">
        <v>291</v>
      </c>
      <c r="B56" t="s">
        <v>132</v>
      </c>
      <c r="C56" s="5">
        <v>1000000000</v>
      </c>
    </row>
    <row r="57" spans="1:3" x14ac:dyDescent="0.25">
      <c r="A57" t="s">
        <v>292</v>
      </c>
      <c r="B57" t="s">
        <v>129</v>
      </c>
      <c r="C57">
        <v>2.5000000000000001E-2</v>
      </c>
    </row>
    <row r="58" spans="1:3" x14ac:dyDescent="0.25">
      <c r="A58" t="s">
        <v>292</v>
      </c>
      <c r="B58" t="s">
        <v>130</v>
      </c>
    </row>
    <row r="59" spans="1:3" x14ac:dyDescent="0.25">
      <c r="A59" t="s">
        <v>292</v>
      </c>
      <c r="B59" t="s">
        <v>131</v>
      </c>
      <c r="C59">
        <v>-999</v>
      </c>
    </row>
    <row r="60" spans="1:3" x14ac:dyDescent="0.25">
      <c r="A60" t="s">
        <v>292</v>
      </c>
      <c r="B60" t="s">
        <v>145</v>
      </c>
    </row>
    <row r="61" spans="1:3" x14ac:dyDescent="0.25">
      <c r="A61" t="s">
        <v>292</v>
      </c>
      <c r="B61" t="s">
        <v>132</v>
      </c>
      <c r="C61" s="5">
        <v>1000000000</v>
      </c>
    </row>
    <row r="62" spans="1:3" x14ac:dyDescent="0.25">
      <c r="A62" t="s">
        <v>293</v>
      </c>
      <c r="B62" t="s">
        <v>129</v>
      </c>
      <c r="C62">
        <v>0.128</v>
      </c>
    </row>
    <row r="63" spans="1:3" x14ac:dyDescent="0.25">
      <c r="A63" t="s">
        <v>293</v>
      </c>
      <c r="B63" t="s">
        <v>130</v>
      </c>
    </row>
    <row r="64" spans="1:3" x14ac:dyDescent="0.25">
      <c r="A64" t="s">
        <v>293</v>
      </c>
      <c r="B64" t="s">
        <v>131</v>
      </c>
      <c r="C64">
        <v>-999</v>
      </c>
    </row>
    <row r="65" spans="1:3" x14ac:dyDescent="0.25">
      <c r="A65" t="s">
        <v>293</v>
      </c>
      <c r="B65" t="s">
        <v>145</v>
      </c>
    </row>
    <row r="66" spans="1:3" x14ac:dyDescent="0.25">
      <c r="A66" t="s">
        <v>293</v>
      </c>
      <c r="B66" t="s">
        <v>132</v>
      </c>
      <c r="C66" s="5">
        <v>1000000000</v>
      </c>
    </row>
    <row r="67" spans="1:3" x14ac:dyDescent="0.25">
      <c r="A67" t="s">
        <v>294</v>
      </c>
      <c r="B67" t="s">
        <v>129</v>
      </c>
      <c r="C67">
        <v>0.14699999999999999</v>
      </c>
    </row>
    <row r="68" spans="1:3" x14ac:dyDescent="0.25">
      <c r="A68" t="s">
        <v>294</v>
      </c>
      <c r="B68" t="s">
        <v>130</v>
      </c>
    </row>
    <row r="69" spans="1:3" x14ac:dyDescent="0.25">
      <c r="A69" t="s">
        <v>294</v>
      </c>
      <c r="B69" t="s">
        <v>131</v>
      </c>
      <c r="C69">
        <v>-999</v>
      </c>
    </row>
    <row r="70" spans="1:3" x14ac:dyDescent="0.25">
      <c r="A70" t="s">
        <v>294</v>
      </c>
      <c r="B70" t="s">
        <v>145</v>
      </c>
    </row>
    <row r="71" spans="1:3" x14ac:dyDescent="0.25">
      <c r="A71" t="s">
        <v>294</v>
      </c>
      <c r="B71" t="s">
        <v>132</v>
      </c>
      <c r="C71" s="5">
        <v>1000000000</v>
      </c>
    </row>
    <row r="72" spans="1:3" x14ac:dyDescent="0.25">
      <c r="A72" t="s">
        <v>295</v>
      </c>
      <c r="B72" t="s">
        <v>129</v>
      </c>
      <c r="C72">
        <v>6.9000000000000006E-2</v>
      </c>
    </row>
    <row r="73" spans="1:3" x14ac:dyDescent="0.25">
      <c r="A73" t="s">
        <v>295</v>
      </c>
      <c r="B73" t="s">
        <v>130</v>
      </c>
    </row>
    <row r="74" spans="1:3" x14ac:dyDescent="0.25">
      <c r="A74" t="s">
        <v>295</v>
      </c>
      <c r="B74" t="s">
        <v>131</v>
      </c>
      <c r="C74">
        <v>-999</v>
      </c>
    </row>
    <row r="75" spans="1:3" x14ac:dyDescent="0.25">
      <c r="A75" t="s">
        <v>295</v>
      </c>
      <c r="B75" t="s">
        <v>145</v>
      </c>
    </row>
    <row r="76" spans="1:3" x14ac:dyDescent="0.25">
      <c r="A76" t="s">
        <v>295</v>
      </c>
      <c r="B76" t="s">
        <v>132</v>
      </c>
      <c r="C76" s="5">
        <v>1000000000</v>
      </c>
    </row>
    <row r="77" spans="1:3" x14ac:dyDescent="0.25">
      <c r="A77" t="s">
        <v>296</v>
      </c>
      <c r="B77" t="s">
        <v>129</v>
      </c>
      <c r="C77">
        <v>1</v>
      </c>
    </row>
    <row r="78" spans="1:3" x14ac:dyDescent="0.25">
      <c r="A78" t="s">
        <v>296</v>
      </c>
      <c r="B78" t="s">
        <v>130</v>
      </c>
    </row>
    <row r="79" spans="1:3" x14ac:dyDescent="0.25">
      <c r="A79" t="s">
        <v>296</v>
      </c>
      <c r="B79" t="s">
        <v>131</v>
      </c>
      <c r="C79">
        <v>-999</v>
      </c>
    </row>
    <row r="80" spans="1:3" x14ac:dyDescent="0.25">
      <c r="A80" t="s">
        <v>296</v>
      </c>
      <c r="B80" t="s">
        <v>145</v>
      </c>
    </row>
    <row r="81" spans="1:3" x14ac:dyDescent="0.25">
      <c r="A81" t="s">
        <v>296</v>
      </c>
      <c r="B81" t="s">
        <v>132</v>
      </c>
      <c r="C81" s="5">
        <v>1000000000</v>
      </c>
    </row>
    <row r="82" spans="1:3" x14ac:dyDescent="0.25">
      <c r="A82" t="s">
        <v>297</v>
      </c>
      <c r="B82" t="s">
        <v>129</v>
      </c>
      <c r="C82">
        <v>1.85</v>
      </c>
    </row>
    <row r="83" spans="1:3" x14ac:dyDescent="0.25">
      <c r="A83" t="s">
        <v>297</v>
      </c>
      <c r="B83" t="s">
        <v>130</v>
      </c>
    </row>
    <row r="84" spans="1:3" x14ac:dyDescent="0.25">
      <c r="A84" t="s">
        <v>297</v>
      </c>
      <c r="B84" t="s">
        <v>131</v>
      </c>
      <c r="C84">
        <v>-999</v>
      </c>
    </row>
    <row r="85" spans="1:3" x14ac:dyDescent="0.25">
      <c r="A85" t="s">
        <v>297</v>
      </c>
      <c r="B85" t="s">
        <v>145</v>
      </c>
    </row>
    <row r="86" spans="1:3" x14ac:dyDescent="0.25">
      <c r="A86" t="s">
        <v>297</v>
      </c>
      <c r="B86" t="s">
        <v>132</v>
      </c>
      <c r="C86" s="5">
        <v>1000000000</v>
      </c>
    </row>
    <row r="87" spans="1:3" x14ac:dyDescent="0.25">
      <c r="A87" t="s">
        <v>298</v>
      </c>
      <c r="B87" t="s">
        <v>129</v>
      </c>
      <c r="C87">
        <v>2.1</v>
      </c>
    </row>
    <row r="88" spans="1:3" x14ac:dyDescent="0.25">
      <c r="A88" t="s">
        <v>298</v>
      </c>
      <c r="B88" t="s">
        <v>130</v>
      </c>
    </row>
    <row r="89" spans="1:3" x14ac:dyDescent="0.25">
      <c r="A89" t="s">
        <v>298</v>
      </c>
      <c r="B89" t="s">
        <v>131</v>
      </c>
      <c r="C89">
        <v>-999</v>
      </c>
    </row>
    <row r="90" spans="1:3" x14ac:dyDescent="0.25">
      <c r="A90" t="s">
        <v>298</v>
      </c>
      <c r="B90" t="s">
        <v>145</v>
      </c>
    </row>
    <row r="91" spans="1:3" x14ac:dyDescent="0.25">
      <c r="A91" t="s">
        <v>298</v>
      </c>
      <c r="B91" t="s">
        <v>132</v>
      </c>
      <c r="C91" s="5">
        <v>1000000000</v>
      </c>
    </row>
    <row r="92" spans="1:3" x14ac:dyDescent="0.25">
      <c r="A92" t="s">
        <v>299</v>
      </c>
      <c r="B92" t="s">
        <v>129</v>
      </c>
      <c r="C92">
        <v>3.95</v>
      </c>
    </row>
    <row r="93" spans="1:3" x14ac:dyDescent="0.25">
      <c r="A93" t="s">
        <v>299</v>
      </c>
      <c r="B93" t="s">
        <v>130</v>
      </c>
    </row>
    <row r="94" spans="1:3" x14ac:dyDescent="0.25">
      <c r="A94" t="s">
        <v>299</v>
      </c>
      <c r="B94" t="s">
        <v>131</v>
      </c>
      <c r="C94">
        <v>-999</v>
      </c>
    </row>
    <row r="95" spans="1:3" x14ac:dyDescent="0.25">
      <c r="A95" t="s">
        <v>299</v>
      </c>
      <c r="B95" t="s">
        <v>145</v>
      </c>
    </row>
    <row r="96" spans="1:3" x14ac:dyDescent="0.25">
      <c r="A96" t="s">
        <v>299</v>
      </c>
      <c r="B96" t="s">
        <v>132</v>
      </c>
      <c r="C96" s="5">
        <v>1000000000</v>
      </c>
    </row>
    <row r="97" spans="1:3" x14ac:dyDescent="0.25">
      <c r="A97" t="s">
        <v>300</v>
      </c>
      <c r="B97" t="s">
        <v>129</v>
      </c>
      <c r="C97">
        <v>1.4</v>
      </c>
    </row>
    <row r="98" spans="1:3" x14ac:dyDescent="0.25">
      <c r="A98" t="s">
        <v>300</v>
      </c>
      <c r="B98" t="s">
        <v>130</v>
      </c>
    </row>
    <row r="99" spans="1:3" x14ac:dyDescent="0.25">
      <c r="A99" t="s">
        <v>300</v>
      </c>
      <c r="B99" t="s">
        <v>131</v>
      </c>
      <c r="C99">
        <v>-999</v>
      </c>
    </row>
    <row r="100" spans="1:3" x14ac:dyDescent="0.25">
      <c r="A100" t="s">
        <v>300</v>
      </c>
      <c r="B100" t="s">
        <v>145</v>
      </c>
    </row>
    <row r="101" spans="1:3" x14ac:dyDescent="0.25">
      <c r="A101" t="s">
        <v>300</v>
      </c>
      <c r="B101" t="s">
        <v>132</v>
      </c>
      <c r="C101" s="5">
        <v>1000000000</v>
      </c>
    </row>
    <row r="102" spans="1:3" x14ac:dyDescent="0.25">
      <c r="A102" t="s">
        <v>301</v>
      </c>
      <c r="B102" t="s">
        <v>129</v>
      </c>
      <c r="C102">
        <v>3.5</v>
      </c>
    </row>
    <row r="103" spans="1:3" x14ac:dyDescent="0.25">
      <c r="A103" t="s">
        <v>301</v>
      </c>
      <c r="B103" t="s">
        <v>130</v>
      </c>
    </row>
    <row r="104" spans="1:3" x14ac:dyDescent="0.25">
      <c r="A104" t="s">
        <v>301</v>
      </c>
      <c r="B104" t="s">
        <v>131</v>
      </c>
      <c r="C104">
        <v>-999</v>
      </c>
    </row>
    <row r="105" spans="1:3" x14ac:dyDescent="0.25">
      <c r="A105" t="s">
        <v>301</v>
      </c>
      <c r="B105" t="s">
        <v>145</v>
      </c>
    </row>
    <row r="106" spans="1:3" x14ac:dyDescent="0.25">
      <c r="A106" t="s">
        <v>301</v>
      </c>
      <c r="B106" t="s">
        <v>132</v>
      </c>
      <c r="C106" s="5">
        <v>1000000000</v>
      </c>
    </row>
    <row r="107" spans="1:3" x14ac:dyDescent="0.25">
      <c r="A107" t="s">
        <v>302</v>
      </c>
      <c r="B107" t="s">
        <v>129</v>
      </c>
      <c r="C107">
        <v>2.7</v>
      </c>
    </row>
    <row r="108" spans="1:3" x14ac:dyDescent="0.25">
      <c r="A108" t="s">
        <v>302</v>
      </c>
      <c r="B108" t="s">
        <v>130</v>
      </c>
    </row>
    <row r="109" spans="1:3" x14ac:dyDescent="0.25">
      <c r="A109" t="s">
        <v>302</v>
      </c>
      <c r="B109" t="s">
        <v>131</v>
      </c>
      <c r="C109">
        <v>-999</v>
      </c>
    </row>
    <row r="110" spans="1:3" x14ac:dyDescent="0.25">
      <c r="A110" t="s">
        <v>302</v>
      </c>
      <c r="B110" t="s">
        <v>145</v>
      </c>
    </row>
    <row r="111" spans="1:3" x14ac:dyDescent="0.25">
      <c r="A111" t="s">
        <v>302</v>
      </c>
      <c r="B111" t="s">
        <v>132</v>
      </c>
      <c r="C111" s="5">
        <v>1000000000</v>
      </c>
    </row>
    <row r="112" spans="1:3" x14ac:dyDescent="0.25">
      <c r="A112" t="s">
        <v>303</v>
      </c>
      <c r="B112" t="s">
        <v>129</v>
      </c>
      <c r="C112">
        <v>2.7</v>
      </c>
    </row>
    <row r="113" spans="1:3" x14ac:dyDescent="0.25">
      <c r="A113" t="s">
        <v>303</v>
      </c>
      <c r="B113" t="s">
        <v>130</v>
      </c>
    </row>
    <row r="114" spans="1:3" x14ac:dyDescent="0.25">
      <c r="A114" t="s">
        <v>303</v>
      </c>
      <c r="B114" t="s">
        <v>131</v>
      </c>
      <c r="C114">
        <v>-999</v>
      </c>
    </row>
    <row r="115" spans="1:3" x14ac:dyDescent="0.25">
      <c r="A115" t="s">
        <v>303</v>
      </c>
      <c r="B115" t="s">
        <v>145</v>
      </c>
    </row>
    <row r="116" spans="1:3" x14ac:dyDescent="0.25">
      <c r="A116" t="s">
        <v>303</v>
      </c>
      <c r="B116" t="s">
        <v>132</v>
      </c>
      <c r="C116" s="5">
        <v>1000000000</v>
      </c>
    </row>
    <row r="117" spans="1:3" x14ac:dyDescent="0.25">
      <c r="A117" t="s">
        <v>304</v>
      </c>
      <c r="B117" t="s">
        <v>129</v>
      </c>
      <c r="C117">
        <v>2</v>
      </c>
    </row>
    <row r="118" spans="1:3" x14ac:dyDescent="0.25">
      <c r="A118" t="s">
        <v>304</v>
      </c>
      <c r="B118" t="s">
        <v>130</v>
      </c>
    </row>
    <row r="119" spans="1:3" x14ac:dyDescent="0.25">
      <c r="A119" t="s">
        <v>304</v>
      </c>
      <c r="B119" t="s">
        <v>131</v>
      </c>
      <c r="C119">
        <v>-999</v>
      </c>
    </row>
    <row r="120" spans="1:3" x14ac:dyDescent="0.25">
      <c r="A120" t="s">
        <v>304</v>
      </c>
      <c r="B120" t="s">
        <v>145</v>
      </c>
    </row>
    <row r="121" spans="1:3" x14ac:dyDescent="0.25">
      <c r="A121" t="s">
        <v>304</v>
      </c>
      <c r="B121" t="s">
        <v>132</v>
      </c>
      <c r="C121" s="5">
        <v>1000000000</v>
      </c>
    </row>
    <row r="122" spans="1:3" x14ac:dyDescent="0.25">
      <c r="A122" t="s">
        <v>305</v>
      </c>
      <c r="B122" t="s">
        <v>129</v>
      </c>
      <c r="C122">
        <v>5.5</v>
      </c>
    </row>
    <row r="123" spans="1:3" x14ac:dyDescent="0.25">
      <c r="A123" t="s">
        <v>305</v>
      </c>
      <c r="B123" t="s">
        <v>130</v>
      </c>
    </row>
    <row r="124" spans="1:3" x14ac:dyDescent="0.25">
      <c r="A124" t="s">
        <v>305</v>
      </c>
      <c r="B124" t="s">
        <v>131</v>
      </c>
      <c r="C124">
        <v>-999</v>
      </c>
    </row>
    <row r="125" spans="1:3" x14ac:dyDescent="0.25">
      <c r="A125" t="s">
        <v>305</v>
      </c>
      <c r="B125" t="s">
        <v>145</v>
      </c>
    </row>
    <row r="126" spans="1:3" x14ac:dyDescent="0.25">
      <c r="A126" t="s">
        <v>305</v>
      </c>
      <c r="B126" t="s">
        <v>132</v>
      </c>
      <c r="C126" s="5">
        <v>1000000000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DEA1A-0627-4FA3-8C95-326A86063434}">
  <dimension ref="A1:C196"/>
  <sheetViews>
    <sheetView topLeftCell="A156" zoomScale="115" zoomScaleNormal="115" workbookViewId="0">
      <selection activeCell="C196" sqref="C196"/>
    </sheetView>
  </sheetViews>
  <sheetFormatPr defaultRowHeight="15" x14ac:dyDescent="0.25"/>
  <cols>
    <col min="1" max="1" width="12.28515625" bestFit="1" customWidth="1"/>
  </cols>
  <sheetData>
    <row r="1" spans="1:3" x14ac:dyDescent="0.25">
      <c r="A1" t="s">
        <v>263</v>
      </c>
      <c r="B1" t="s">
        <v>344</v>
      </c>
      <c r="C1" t="s">
        <v>345</v>
      </c>
    </row>
    <row r="2" spans="1:3" x14ac:dyDescent="0.25">
      <c r="A2" t="s">
        <v>307</v>
      </c>
      <c r="B2" t="s">
        <v>129</v>
      </c>
      <c r="C2">
        <v>1.89</v>
      </c>
    </row>
    <row r="3" spans="1:3" x14ac:dyDescent="0.25">
      <c r="A3" t="s">
        <v>307</v>
      </c>
      <c r="B3" t="s">
        <v>130</v>
      </c>
      <c r="C3">
        <v>162</v>
      </c>
    </row>
    <row r="4" spans="1:3" x14ac:dyDescent="0.25">
      <c r="A4" t="s">
        <v>307</v>
      </c>
      <c r="B4" t="s">
        <v>131</v>
      </c>
      <c r="C4">
        <v>-0.9</v>
      </c>
    </row>
    <row r="5" spans="1:3" x14ac:dyDescent="0.25">
      <c r="A5" t="s">
        <v>307</v>
      </c>
      <c r="B5" t="s">
        <v>145</v>
      </c>
    </row>
    <row r="6" spans="1:3" x14ac:dyDescent="0.25">
      <c r="A6" t="s">
        <v>307</v>
      </c>
      <c r="B6" t="s">
        <v>132</v>
      </c>
      <c r="C6">
        <v>1000</v>
      </c>
    </row>
    <row r="7" spans="1:3" x14ac:dyDescent="0.25">
      <c r="A7" t="s">
        <v>308</v>
      </c>
      <c r="B7" t="s">
        <v>129</v>
      </c>
      <c r="C7">
        <v>1.79</v>
      </c>
    </row>
    <row r="8" spans="1:3" x14ac:dyDescent="0.25">
      <c r="A8" t="s">
        <v>308</v>
      </c>
      <c r="B8" t="s">
        <v>130</v>
      </c>
      <c r="C8">
        <v>222</v>
      </c>
    </row>
    <row r="9" spans="1:3" x14ac:dyDescent="0.25">
      <c r="A9" t="s">
        <v>308</v>
      </c>
      <c r="B9" t="s">
        <v>131</v>
      </c>
      <c r="C9">
        <v>-0.9</v>
      </c>
    </row>
    <row r="10" spans="1:3" x14ac:dyDescent="0.25">
      <c r="A10" t="s">
        <v>308</v>
      </c>
      <c r="B10" t="s">
        <v>145</v>
      </c>
    </row>
    <row r="11" spans="1:3" x14ac:dyDescent="0.25">
      <c r="A11" t="s">
        <v>308</v>
      </c>
      <c r="B11" t="s">
        <v>132</v>
      </c>
      <c r="C11">
        <v>1000</v>
      </c>
    </row>
    <row r="12" spans="1:3" x14ac:dyDescent="0.25">
      <c r="A12" t="s">
        <v>309</v>
      </c>
      <c r="B12" t="s">
        <v>129</v>
      </c>
      <c r="C12">
        <v>5.0199999999999996</v>
      </c>
    </row>
    <row r="13" spans="1:3" x14ac:dyDescent="0.25">
      <c r="A13" t="s">
        <v>309</v>
      </c>
      <c r="B13" t="s">
        <v>130</v>
      </c>
      <c r="C13">
        <v>450</v>
      </c>
    </row>
    <row r="14" spans="1:3" x14ac:dyDescent="0.25">
      <c r="A14" t="s">
        <v>309</v>
      </c>
      <c r="B14" t="s">
        <v>131</v>
      </c>
      <c r="C14">
        <v>-0.9</v>
      </c>
    </row>
    <row r="15" spans="1:3" x14ac:dyDescent="0.25">
      <c r="A15" t="s">
        <v>309</v>
      </c>
      <c r="B15" t="s">
        <v>145</v>
      </c>
    </row>
    <row r="16" spans="1:3" x14ac:dyDescent="0.25">
      <c r="A16" t="s">
        <v>309</v>
      </c>
      <c r="B16" t="s">
        <v>132</v>
      </c>
      <c r="C16">
        <v>1000</v>
      </c>
    </row>
    <row r="17" spans="1:3" x14ac:dyDescent="0.25">
      <c r="A17" t="s">
        <v>84</v>
      </c>
      <c r="B17" t="s">
        <v>129</v>
      </c>
    </row>
    <row r="18" spans="1:3" x14ac:dyDescent="0.25">
      <c r="A18" t="s">
        <v>84</v>
      </c>
      <c r="B18" t="s">
        <v>130</v>
      </c>
    </row>
    <row r="19" spans="1:3" x14ac:dyDescent="0.25">
      <c r="A19" t="s">
        <v>84</v>
      </c>
      <c r="B19" t="s">
        <v>131</v>
      </c>
    </row>
    <row r="20" spans="1:3" x14ac:dyDescent="0.25">
      <c r="A20" t="s">
        <v>84</v>
      </c>
      <c r="B20" t="s">
        <v>145</v>
      </c>
      <c r="C20">
        <v>170</v>
      </c>
    </row>
    <row r="21" spans="1:3" x14ac:dyDescent="0.25">
      <c r="A21" t="s">
        <v>84</v>
      </c>
      <c r="B21" t="s">
        <v>132</v>
      </c>
    </row>
    <row r="22" spans="1:3" x14ac:dyDescent="0.25">
      <c r="A22" t="s">
        <v>310</v>
      </c>
      <c r="B22" t="s">
        <v>129</v>
      </c>
      <c r="C22">
        <v>14.6</v>
      </c>
    </row>
    <row r="23" spans="1:3" x14ac:dyDescent="0.25">
      <c r="A23" t="s">
        <v>310</v>
      </c>
      <c r="B23" t="s">
        <v>130</v>
      </c>
      <c r="C23">
        <v>175</v>
      </c>
    </row>
    <row r="24" spans="1:3" x14ac:dyDescent="0.25">
      <c r="A24" t="s">
        <v>310</v>
      </c>
      <c r="B24" t="s">
        <v>131</v>
      </c>
      <c r="C24">
        <v>-0.9</v>
      </c>
    </row>
    <row r="25" spans="1:3" x14ac:dyDescent="0.25">
      <c r="A25" t="s">
        <v>310</v>
      </c>
      <c r="B25" t="s">
        <v>145</v>
      </c>
    </row>
    <row r="26" spans="1:3" x14ac:dyDescent="0.25">
      <c r="A26" t="s">
        <v>310</v>
      </c>
      <c r="B26" t="s">
        <v>132</v>
      </c>
      <c r="C26">
        <v>300</v>
      </c>
    </row>
    <row r="27" spans="1:3" x14ac:dyDescent="0.25">
      <c r="A27" t="s">
        <v>311</v>
      </c>
      <c r="B27" t="s">
        <v>129</v>
      </c>
    </row>
    <row r="28" spans="1:3" x14ac:dyDescent="0.25">
      <c r="A28" t="s">
        <v>311</v>
      </c>
      <c r="B28" t="s">
        <v>130</v>
      </c>
    </row>
    <row r="29" spans="1:3" x14ac:dyDescent="0.25">
      <c r="A29" t="s">
        <v>311</v>
      </c>
      <c r="B29" t="s">
        <v>131</v>
      </c>
    </row>
    <row r="30" spans="1:3" x14ac:dyDescent="0.25">
      <c r="A30" t="s">
        <v>311</v>
      </c>
      <c r="B30" t="s">
        <v>145</v>
      </c>
      <c r="C30">
        <v>49</v>
      </c>
    </row>
    <row r="31" spans="1:3" x14ac:dyDescent="0.25">
      <c r="A31" t="s">
        <v>311</v>
      </c>
      <c r="B31" t="s">
        <v>132</v>
      </c>
    </row>
    <row r="32" spans="1:3" x14ac:dyDescent="0.25">
      <c r="A32" t="s">
        <v>312</v>
      </c>
      <c r="B32" t="s">
        <v>129</v>
      </c>
      <c r="C32">
        <v>1.35</v>
      </c>
    </row>
    <row r="33" spans="1:3" x14ac:dyDescent="0.25">
      <c r="A33" t="s">
        <v>312</v>
      </c>
      <c r="B33" t="s">
        <v>130</v>
      </c>
      <c r="C33">
        <v>850</v>
      </c>
    </row>
    <row r="34" spans="1:3" x14ac:dyDescent="0.25">
      <c r="A34" t="s">
        <v>312</v>
      </c>
      <c r="B34" t="s">
        <v>131</v>
      </c>
      <c r="C34">
        <v>-0.9</v>
      </c>
    </row>
    <row r="35" spans="1:3" x14ac:dyDescent="0.25">
      <c r="A35" t="s">
        <v>312</v>
      </c>
      <c r="B35" t="s">
        <v>145</v>
      </c>
    </row>
    <row r="36" spans="1:3" x14ac:dyDescent="0.25">
      <c r="A36" t="s">
        <v>312</v>
      </c>
      <c r="B36" t="s">
        <v>132</v>
      </c>
      <c r="C36">
        <v>2000</v>
      </c>
    </row>
    <row r="37" spans="1:3" x14ac:dyDescent="0.25">
      <c r="A37" t="s">
        <v>313</v>
      </c>
      <c r="B37" t="s">
        <v>129</v>
      </c>
      <c r="C37">
        <v>5.45</v>
      </c>
    </row>
    <row r="38" spans="1:3" x14ac:dyDescent="0.25">
      <c r="A38" t="s">
        <v>313</v>
      </c>
      <c r="B38" t="s">
        <v>130</v>
      </c>
      <c r="C38">
        <v>402</v>
      </c>
    </row>
    <row r="39" spans="1:3" x14ac:dyDescent="0.25">
      <c r="A39" t="s">
        <v>313</v>
      </c>
      <c r="B39" t="s">
        <v>131</v>
      </c>
      <c r="C39">
        <v>-0.9</v>
      </c>
    </row>
    <row r="40" spans="1:3" x14ac:dyDescent="0.25">
      <c r="A40" t="s">
        <v>313</v>
      </c>
      <c r="B40" t="s">
        <v>145</v>
      </c>
    </row>
    <row r="41" spans="1:3" x14ac:dyDescent="0.25">
      <c r="A41" t="s">
        <v>313</v>
      </c>
      <c r="B41" t="s">
        <v>132</v>
      </c>
      <c r="C41">
        <v>500</v>
      </c>
    </row>
    <row r="42" spans="1:3" x14ac:dyDescent="0.25">
      <c r="A42" t="s">
        <v>314</v>
      </c>
      <c r="B42" t="s">
        <v>129</v>
      </c>
      <c r="C42">
        <v>16.13</v>
      </c>
    </row>
    <row r="43" spans="1:3" x14ac:dyDescent="0.25">
      <c r="A43" t="s">
        <v>314</v>
      </c>
      <c r="B43" t="s">
        <v>130</v>
      </c>
      <c r="C43">
        <v>152</v>
      </c>
    </row>
    <row r="44" spans="1:3" x14ac:dyDescent="0.25">
      <c r="A44" t="s">
        <v>314</v>
      </c>
      <c r="B44" t="s">
        <v>131</v>
      </c>
      <c r="C44">
        <v>-0.9</v>
      </c>
    </row>
    <row r="45" spans="1:3" x14ac:dyDescent="0.25">
      <c r="A45" t="s">
        <v>314</v>
      </c>
      <c r="B45" t="s">
        <v>145</v>
      </c>
    </row>
    <row r="46" spans="1:3" x14ac:dyDescent="0.25">
      <c r="A46" t="s">
        <v>314</v>
      </c>
      <c r="B46" t="s">
        <v>132</v>
      </c>
      <c r="C46">
        <v>200</v>
      </c>
    </row>
    <row r="47" spans="1:3" x14ac:dyDescent="0.25">
      <c r="A47" t="s">
        <v>315</v>
      </c>
      <c r="B47" t="s">
        <v>129</v>
      </c>
    </row>
    <row r="48" spans="1:3" x14ac:dyDescent="0.25">
      <c r="A48" t="s">
        <v>315</v>
      </c>
      <c r="B48" t="s">
        <v>130</v>
      </c>
    </row>
    <row r="49" spans="1:3" x14ac:dyDescent="0.25">
      <c r="A49" t="s">
        <v>315</v>
      </c>
      <c r="B49" t="s">
        <v>131</v>
      </c>
    </row>
    <row r="50" spans="1:3" x14ac:dyDescent="0.25">
      <c r="A50" t="s">
        <v>315</v>
      </c>
      <c r="B50" t="s">
        <v>145</v>
      </c>
      <c r="C50">
        <v>363</v>
      </c>
    </row>
    <row r="51" spans="1:3" x14ac:dyDescent="0.25">
      <c r="A51" t="s">
        <v>315</v>
      </c>
      <c r="B51" t="s">
        <v>132</v>
      </c>
      <c r="C51">
        <v>400</v>
      </c>
    </row>
    <row r="52" spans="1:3" x14ac:dyDescent="0.25">
      <c r="A52" t="s">
        <v>316</v>
      </c>
      <c r="B52" t="s">
        <v>129</v>
      </c>
      <c r="C52">
        <v>6.33</v>
      </c>
    </row>
    <row r="53" spans="1:3" x14ac:dyDescent="0.25">
      <c r="A53" t="s">
        <v>316</v>
      </c>
      <c r="B53" t="s">
        <v>130</v>
      </c>
      <c r="C53">
        <v>923</v>
      </c>
    </row>
    <row r="54" spans="1:3" x14ac:dyDescent="0.25">
      <c r="A54" t="s">
        <v>316</v>
      </c>
      <c r="B54" t="s">
        <v>131</v>
      </c>
      <c r="C54">
        <v>-0.9</v>
      </c>
    </row>
    <row r="55" spans="1:3" x14ac:dyDescent="0.25">
      <c r="A55" t="s">
        <v>316</v>
      </c>
      <c r="B55" t="s">
        <v>145</v>
      </c>
    </row>
    <row r="56" spans="1:3" x14ac:dyDescent="0.25">
      <c r="A56" t="s">
        <v>316</v>
      </c>
      <c r="B56" t="s">
        <v>132</v>
      </c>
      <c r="C56">
        <v>1500</v>
      </c>
    </row>
    <row r="57" spans="1:3" x14ac:dyDescent="0.25">
      <c r="A57" t="s">
        <v>317</v>
      </c>
      <c r="B57" t="s">
        <v>129</v>
      </c>
      <c r="C57">
        <v>46.07</v>
      </c>
    </row>
    <row r="58" spans="1:3" x14ac:dyDescent="0.25">
      <c r="A58" t="s">
        <v>317</v>
      </c>
      <c r="B58" t="s">
        <v>130</v>
      </c>
      <c r="C58">
        <v>200</v>
      </c>
    </row>
    <row r="59" spans="1:3" x14ac:dyDescent="0.25">
      <c r="A59" t="s">
        <v>317</v>
      </c>
      <c r="B59" t="s">
        <v>131</v>
      </c>
      <c r="C59">
        <v>-0.9</v>
      </c>
    </row>
    <row r="60" spans="1:3" x14ac:dyDescent="0.25">
      <c r="A60" t="s">
        <v>317</v>
      </c>
      <c r="B60" t="s">
        <v>145</v>
      </c>
    </row>
    <row r="61" spans="1:3" x14ac:dyDescent="0.25">
      <c r="A61" t="s">
        <v>317</v>
      </c>
      <c r="B61" t="s">
        <v>132</v>
      </c>
      <c r="C61">
        <v>300</v>
      </c>
    </row>
    <row r="62" spans="1:3" x14ac:dyDescent="0.25">
      <c r="A62" t="s">
        <v>318</v>
      </c>
      <c r="B62" t="s">
        <v>129</v>
      </c>
      <c r="C62">
        <v>49.47</v>
      </c>
    </row>
    <row r="63" spans="1:3" x14ac:dyDescent="0.25">
      <c r="A63" t="s">
        <v>318</v>
      </c>
      <c r="B63" t="s">
        <v>130</v>
      </c>
      <c r="C63">
        <v>62</v>
      </c>
    </row>
    <row r="64" spans="1:3" x14ac:dyDescent="0.25">
      <c r="A64" t="s">
        <v>318</v>
      </c>
      <c r="B64" t="s">
        <v>131</v>
      </c>
      <c r="C64">
        <v>-0.9</v>
      </c>
    </row>
    <row r="65" spans="1:3" x14ac:dyDescent="0.25">
      <c r="A65" t="s">
        <v>318</v>
      </c>
      <c r="B65" t="s">
        <v>145</v>
      </c>
    </row>
    <row r="66" spans="1:3" x14ac:dyDescent="0.25">
      <c r="A66" t="s">
        <v>318</v>
      </c>
      <c r="B66" t="s">
        <v>132</v>
      </c>
      <c r="C66">
        <v>100</v>
      </c>
    </row>
    <row r="67" spans="1:3" x14ac:dyDescent="0.25">
      <c r="A67" t="s">
        <v>319</v>
      </c>
      <c r="B67" t="s">
        <v>129</v>
      </c>
      <c r="C67">
        <v>36.020000000000003</v>
      </c>
    </row>
    <row r="68" spans="1:3" x14ac:dyDescent="0.25">
      <c r="A68" t="s">
        <v>319</v>
      </c>
      <c r="B68" t="s">
        <v>130</v>
      </c>
      <c r="C68">
        <v>67</v>
      </c>
    </row>
    <row r="69" spans="1:3" x14ac:dyDescent="0.25">
      <c r="A69" t="s">
        <v>319</v>
      </c>
      <c r="B69" t="s">
        <v>131</v>
      </c>
      <c r="C69">
        <v>-0.9</v>
      </c>
    </row>
    <row r="70" spans="1:3" x14ac:dyDescent="0.25">
      <c r="A70" t="s">
        <v>319</v>
      </c>
      <c r="B70" t="s">
        <v>145</v>
      </c>
    </row>
    <row r="71" spans="1:3" x14ac:dyDescent="0.25">
      <c r="A71" t="s">
        <v>319</v>
      </c>
      <c r="B71" t="s">
        <v>132</v>
      </c>
      <c r="C71">
        <v>120</v>
      </c>
    </row>
    <row r="72" spans="1:3" x14ac:dyDescent="0.25">
      <c r="A72" t="s">
        <v>320</v>
      </c>
      <c r="B72" t="s">
        <v>129</v>
      </c>
      <c r="C72">
        <v>36.47</v>
      </c>
    </row>
    <row r="73" spans="1:3" x14ac:dyDescent="0.25">
      <c r="A73" t="s">
        <v>320</v>
      </c>
      <c r="B73" t="s">
        <v>130</v>
      </c>
      <c r="C73">
        <v>15</v>
      </c>
    </row>
    <row r="74" spans="1:3" x14ac:dyDescent="0.25">
      <c r="A74" t="s">
        <v>320</v>
      </c>
      <c r="B74" t="s">
        <v>131</v>
      </c>
      <c r="C74">
        <v>-0.9</v>
      </c>
    </row>
    <row r="75" spans="1:3" x14ac:dyDescent="0.25">
      <c r="A75" t="s">
        <v>320</v>
      </c>
      <c r="B75" t="s">
        <v>145</v>
      </c>
    </row>
    <row r="76" spans="1:3" x14ac:dyDescent="0.25">
      <c r="A76" t="s">
        <v>320</v>
      </c>
      <c r="B76" t="s">
        <v>132</v>
      </c>
      <c r="C76">
        <v>40</v>
      </c>
    </row>
    <row r="77" spans="1:3" x14ac:dyDescent="0.25">
      <c r="A77" t="s">
        <v>321</v>
      </c>
      <c r="B77" t="s">
        <v>129</v>
      </c>
      <c r="C77">
        <v>54.81</v>
      </c>
    </row>
    <row r="78" spans="1:3" x14ac:dyDescent="0.25">
      <c r="A78" t="s">
        <v>321</v>
      </c>
      <c r="B78" t="s">
        <v>130</v>
      </c>
      <c r="C78">
        <v>240</v>
      </c>
    </row>
    <row r="79" spans="1:3" x14ac:dyDescent="0.25">
      <c r="A79" t="s">
        <v>321</v>
      </c>
      <c r="B79" t="s">
        <v>131</v>
      </c>
      <c r="C79">
        <v>-0.9</v>
      </c>
    </row>
    <row r="80" spans="1:3" x14ac:dyDescent="0.25">
      <c r="A80" t="s">
        <v>321</v>
      </c>
      <c r="B80" t="s">
        <v>145</v>
      </c>
    </row>
    <row r="81" spans="1:3" x14ac:dyDescent="0.25">
      <c r="A81" t="s">
        <v>321</v>
      </c>
      <c r="B81" t="s">
        <v>132</v>
      </c>
      <c r="C81">
        <v>275</v>
      </c>
    </row>
    <row r="82" spans="1:3" x14ac:dyDescent="0.25">
      <c r="A82" t="s">
        <v>322</v>
      </c>
      <c r="B82" t="s">
        <v>129</v>
      </c>
      <c r="C82">
        <v>25.98</v>
      </c>
    </row>
    <row r="83" spans="1:3" x14ac:dyDescent="0.25">
      <c r="A83" t="s">
        <v>322</v>
      </c>
      <c r="B83" t="s">
        <v>130</v>
      </c>
      <c r="C83">
        <v>295</v>
      </c>
    </row>
    <row r="84" spans="1:3" x14ac:dyDescent="0.25">
      <c r="A84" t="s">
        <v>322</v>
      </c>
      <c r="B84" t="s">
        <v>131</v>
      </c>
      <c r="C84">
        <v>-0.9</v>
      </c>
    </row>
    <row r="85" spans="1:3" x14ac:dyDescent="0.25">
      <c r="A85" t="s">
        <v>322</v>
      </c>
      <c r="B85" t="s">
        <v>145</v>
      </c>
    </row>
    <row r="86" spans="1:3" x14ac:dyDescent="0.25">
      <c r="A86" t="s">
        <v>322</v>
      </c>
      <c r="B86" t="s">
        <v>132</v>
      </c>
      <c r="C86">
        <v>500</v>
      </c>
    </row>
    <row r="87" spans="1:3" x14ac:dyDescent="0.25">
      <c r="A87" t="s">
        <v>323</v>
      </c>
      <c r="B87" t="s">
        <v>129</v>
      </c>
      <c r="C87">
        <v>33.619999999999997</v>
      </c>
    </row>
    <row r="88" spans="1:3" x14ac:dyDescent="0.25">
      <c r="A88" t="s">
        <v>323</v>
      </c>
      <c r="B88" t="s">
        <v>130</v>
      </c>
      <c r="C88">
        <v>250</v>
      </c>
    </row>
    <row r="89" spans="1:3" x14ac:dyDescent="0.25">
      <c r="A89" t="s">
        <v>323</v>
      </c>
      <c r="B89" t="s">
        <v>131</v>
      </c>
      <c r="C89">
        <v>-0.9</v>
      </c>
    </row>
    <row r="90" spans="1:3" x14ac:dyDescent="0.25">
      <c r="A90" t="s">
        <v>323</v>
      </c>
      <c r="B90" t="s">
        <v>145</v>
      </c>
    </row>
    <row r="91" spans="1:3" x14ac:dyDescent="0.25">
      <c r="A91" t="s">
        <v>323</v>
      </c>
      <c r="B91" t="s">
        <v>132</v>
      </c>
      <c r="C91">
        <v>500</v>
      </c>
    </row>
    <row r="92" spans="1:3" x14ac:dyDescent="0.25">
      <c r="A92" t="s">
        <v>324</v>
      </c>
      <c r="B92" t="s">
        <v>129</v>
      </c>
      <c r="C92">
        <v>64.87</v>
      </c>
    </row>
    <row r="93" spans="1:3" x14ac:dyDescent="0.25">
      <c r="A93" t="s">
        <v>324</v>
      </c>
      <c r="B93" t="s">
        <v>130</v>
      </c>
      <c r="C93">
        <v>17</v>
      </c>
    </row>
    <row r="94" spans="1:3" x14ac:dyDescent="0.25">
      <c r="A94" t="s">
        <v>324</v>
      </c>
      <c r="B94" t="s">
        <v>131</v>
      </c>
      <c r="C94">
        <v>-0.9</v>
      </c>
    </row>
    <row r="95" spans="1:3" x14ac:dyDescent="0.25">
      <c r="A95" t="s">
        <v>324</v>
      </c>
      <c r="B95" t="s">
        <v>145</v>
      </c>
    </row>
    <row r="96" spans="1:3" x14ac:dyDescent="0.25">
      <c r="A96" t="s">
        <v>324</v>
      </c>
      <c r="B96" t="s">
        <v>132</v>
      </c>
      <c r="C96">
        <v>20</v>
      </c>
    </row>
    <row r="97" spans="1:3" x14ac:dyDescent="0.25">
      <c r="A97" t="s">
        <v>325</v>
      </c>
      <c r="B97" t="s">
        <v>129</v>
      </c>
      <c r="C97">
        <v>56.95</v>
      </c>
    </row>
    <row r="98" spans="1:3" x14ac:dyDescent="0.25">
      <c r="A98" t="s">
        <v>325</v>
      </c>
      <c r="B98" t="s">
        <v>130</v>
      </c>
      <c r="C98">
        <v>20</v>
      </c>
    </row>
    <row r="99" spans="1:3" x14ac:dyDescent="0.25">
      <c r="A99" t="s">
        <v>325</v>
      </c>
      <c r="B99" t="s">
        <v>131</v>
      </c>
      <c r="C99">
        <v>-0.9</v>
      </c>
    </row>
    <row r="100" spans="1:3" x14ac:dyDescent="0.25">
      <c r="A100" t="s">
        <v>325</v>
      </c>
      <c r="B100" t="s">
        <v>145</v>
      </c>
    </row>
    <row r="101" spans="1:3" x14ac:dyDescent="0.25">
      <c r="A101" t="s">
        <v>325</v>
      </c>
      <c r="B101" t="s">
        <v>132</v>
      </c>
      <c r="C101">
        <v>500</v>
      </c>
    </row>
    <row r="102" spans="1:3" x14ac:dyDescent="0.25">
      <c r="A102" t="s">
        <v>326</v>
      </c>
      <c r="B102" t="s">
        <v>129</v>
      </c>
      <c r="C102">
        <v>37.479999999999997</v>
      </c>
    </row>
    <row r="103" spans="1:3" x14ac:dyDescent="0.25">
      <c r="A103" t="s">
        <v>326</v>
      </c>
      <c r="B103" t="s">
        <v>130</v>
      </c>
      <c r="C103">
        <v>180</v>
      </c>
    </row>
    <row r="104" spans="1:3" x14ac:dyDescent="0.25">
      <c r="A104" t="s">
        <v>326</v>
      </c>
      <c r="B104" t="s">
        <v>131</v>
      </c>
      <c r="C104">
        <v>-0.9</v>
      </c>
    </row>
    <row r="105" spans="1:3" x14ac:dyDescent="0.25">
      <c r="A105" t="s">
        <v>326</v>
      </c>
      <c r="B105" t="s">
        <v>145</v>
      </c>
    </row>
    <row r="106" spans="1:3" x14ac:dyDescent="0.25">
      <c r="A106" t="s">
        <v>326</v>
      </c>
      <c r="B106" t="s">
        <v>132</v>
      </c>
      <c r="C106">
        <v>300</v>
      </c>
    </row>
    <row r="107" spans="1:3" x14ac:dyDescent="0.25">
      <c r="A107" t="s">
        <v>327</v>
      </c>
      <c r="B107" t="s">
        <v>129</v>
      </c>
      <c r="C107">
        <v>12.64</v>
      </c>
    </row>
    <row r="108" spans="1:3" x14ac:dyDescent="0.25">
      <c r="A108" t="s">
        <v>327</v>
      </c>
      <c r="B108" t="s">
        <v>130</v>
      </c>
      <c r="C108">
        <v>940</v>
      </c>
    </row>
    <row r="109" spans="1:3" x14ac:dyDescent="0.25">
      <c r="A109" t="s">
        <v>327</v>
      </c>
      <c r="B109" t="s">
        <v>131</v>
      </c>
      <c r="C109">
        <v>-0.9</v>
      </c>
    </row>
    <row r="110" spans="1:3" x14ac:dyDescent="0.25">
      <c r="A110" t="s">
        <v>327</v>
      </c>
      <c r="B110" t="s">
        <v>145</v>
      </c>
    </row>
    <row r="111" spans="1:3" x14ac:dyDescent="0.25">
      <c r="A111" t="s">
        <v>327</v>
      </c>
      <c r="B111" t="s">
        <v>132</v>
      </c>
      <c r="C111">
        <v>2000</v>
      </c>
    </row>
    <row r="112" spans="1:3" x14ac:dyDescent="0.25">
      <c r="A112" t="s">
        <v>328</v>
      </c>
      <c r="B112" t="s">
        <v>129</v>
      </c>
      <c r="C112">
        <v>12.64</v>
      </c>
    </row>
    <row r="113" spans="1:3" x14ac:dyDescent="0.25">
      <c r="A113" t="s">
        <v>328</v>
      </c>
      <c r="B113" t="s">
        <v>130</v>
      </c>
      <c r="C113">
        <v>845</v>
      </c>
    </row>
    <row r="114" spans="1:3" x14ac:dyDescent="0.25">
      <c r="A114" t="s">
        <v>328</v>
      </c>
      <c r="B114" t="s">
        <v>131</v>
      </c>
      <c r="C114">
        <v>-0.9</v>
      </c>
    </row>
    <row r="115" spans="1:3" x14ac:dyDescent="0.25">
      <c r="A115" t="s">
        <v>328</v>
      </c>
      <c r="B115" t="s">
        <v>145</v>
      </c>
    </row>
    <row r="116" spans="1:3" x14ac:dyDescent="0.25">
      <c r="A116" t="s">
        <v>328</v>
      </c>
      <c r="B116" t="s">
        <v>132</v>
      </c>
      <c r="C116">
        <v>2000</v>
      </c>
    </row>
    <row r="117" spans="1:3" x14ac:dyDescent="0.25">
      <c r="A117" t="s">
        <v>329</v>
      </c>
      <c r="B117" t="s">
        <v>129</v>
      </c>
      <c r="C117">
        <v>0.15</v>
      </c>
    </row>
    <row r="118" spans="1:3" x14ac:dyDescent="0.25">
      <c r="A118" t="s">
        <v>329</v>
      </c>
      <c r="B118" t="s">
        <v>130</v>
      </c>
      <c r="C118">
        <v>10</v>
      </c>
    </row>
    <row r="119" spans="1:3" x14ac:dyDescent="0.25">
      <c r="A119" t="s">
        <v>329</v>
      </c>
      <c r="B119" t="s">
        <v>131</v>
      </c>
      <c r="C119">
        <v>-0.9</v>
      </c>
    </row>
    <row r="120" spans="1:3" x14ac:dyDescent="0.25">
      <c r="A120" t="s">
        <v>329</v>
      </c>
      <c r="B120" t="s">
        <v>145</v>
      </c>
    </row>
    <row r="121" spans="1:3" x14ac:dyDescent="0.25">
      <c r="A121" t="s">
        <v>329</v>
      </c>
      <c r="B121" t="s">
        <v>132</v>
      </c>
      <c r="C121">
        <v>100</v>
      </c>
    </row>
    <row r="122" spans="1:3" x14ac:dyDescent="0.25">
      <c r="A122" t="s">
        <v>268</v>
      </c>
      <c r="B122" t="s">
        <v>129</v>
      </c>
      <c r="C122">
        <v>1.75</v>
      </c>
    </row>
    <row r="123" spans="1:3" x14ac:dyDescent="0.25">
      <c r="A123" t="s">
        <v>268</v>
      </c>
      <c r="B123" t="s">
        <v>130</v>
      </c>
    </row>
    <row r="124" spans="1:3" x14ac:dyDescent="0.25">
      <c r="A124" t="s">
        <v>268</v>
      </c>
      <c r="B124" t="s">
        <v>131</v>
      </c>
      <c r="C124">
        <v>-999</v>
      </c>
    </row>
    <row r="125" spans="1:3" x14ac:dyDescent="0.25">
      <c r="A125" t="s">
        <v>268</v>
      </c>
      <c r="B125" t="s">
        <v>145</v>
      </c>
    </row>
    <row r="126" spans="1:3" x14ac:dyDescent="0.25">
      <c r="A126" t="s">
        <v>268</v>
      </c>
      <c r="B126" t="s">
        <v>132</v>
      </c>
      <c r="C126">
        <v>1000</v>
      </c>
    </row>
    <row r="127" spans="1:3" x14ac:dyDescent="0.25">
      <c r="A127" t="s">
        <v>330</v>
      </c>
      <c r="B127" t="s">
        <v>129</v>
      </c>
      <c r="C127">
        <v>0.8</v>
      </c>
    </row>
    <row r="128" spans="1:3" x14ac:dyDescent="0.25">
      <c r="A128" t="s">
        <v>330</v>
      </c>
      <c r="B128" t="s">
        <v>130</v>
      </c>
      <c r="C128">
        <v>50</v>
      </c>
    </row>
    <row r="129" spans="1:3" x14ac:dyDescent="0.25">
      <c r="A129" t="s">
        <v>330</v>
      </c>
      <c r="B129" t="s">
        <v>131</v>
      </c>
      <c r="C129">
        <v>-999</v>
      </c>
    </row>
    <row r="130" spans="1:3" x14ac:dyDescent="0.25">
      <c r="A130" t="s">
        <v>330</v>
      </c>
      <c r="B130" t="s">
        <v>145</v>
      </c>
    </row>
    <row r="131" spans="1:3" x14ac:dyDescent="0.25">
      <c r="A131" t="s">
        <v>330</v>
      </c>
      <c r="B131" t="s">
        <v>132</v>
      </c>
      <c r="C131">
        <v>5000</v>
      </c>
    </row>
    <row r="132" spans="1:3" x14ac:dyDescent="0.25">
      <c r="A132" t="s">
        <v>331</v>
      </c>
      <c r="B132" t="s">
        <v>129</v>
      </c>
      <c r="C132">
        <v>5.2</v>
      </c>
    </row>
    <row r="133" spans="1:3" x14ac:dyDescent="0.25">
      <c r="A133" t="s">
        <v>331</v>
      </c>
      <c r="B133" t="s">
        <v>130</v>
      </c>
      <c r="C133">
        <v>9</v>
      </c>
    </row>
    <row r="134" spans="1:3" x14ac:dyDescent="0.25">
      <c r="A134" t="s">
        <v>331</v>
      </c>
      <c r="B134" t="s">
        <v>131</v>
      </c>
      <c r="C134">
        <v>-999</v>
      </c>
    </row>
    <row r="135" spans="1:3" x14ac:dyDescent="0.25">
      <c r="A135" t="s">
        <v>331</v>
      </c>
      <c r="B135" t="s">
        <v>145</v>
      </c>
    </row>
    <row r="136" spans="1:3" x14ac:dyDescent="0.25">
      <c r="A136" t="s">
        <v>331</v>
      </c>
      <c r="B136" t="s">
        <v>132</v>
      </c>
      <c r="C136">
        <v>1000</v>
      </c>
    </row>
    <row r="137" spans="1:3" x14ac:dyDescent="0.25">
      <c r="A137" t="s">
        <v>332</v>
      </c>
      <c r="B137" t="s">
        <v>129</v>
      </c>
      <c r="C137">
        <v>0</v>
      </c>
    </row>
    <row r="138" spans="1:3" x14ac:dyDescent="0.25">
      <c r="A138" t="s">
        <v>332</v>
      </c>
      <c r="B138" t="s">
        <v>130</v>
      </c>
    </row>
    <row r="139" spans="1:3" x14ac:dyDescent="0.25">
      <c r="A139" t="s">
        <v>332</v>
      </c>
      <c r="B139" t="s">
        <v>131</v>
      </c>
      <c r="C139">
        <v>-999</v>
      </c>
    </row>
    <row r="140" spans="1:3" x14ac:dyDescent="0.25">
      <c r="A140" t="s">
        <v>332</v>
      </c>
      <c r="B140" t="s">
        <v>145</v>
      </c>
    </row>
    <row r="141" spans="1:3" x14ac:dyDescent="0.25">
      <c r="A141" t="s">
        <v>332</v>
      </c>
      <c r="B141" t="s">
        <v>132</v>
      </c>
      <c r="C141">
        <v>0</v>
      </c>
    </row>
    <row r="142" spans="1:3" x14ac:dyDescent="0.25">
      <c r="A142" t="s">
        <v>333</v>
      </c>
      <c r="B142" t="s">
        <v>129</v>
      </c>
      <c r="C142">
        <v>2.2000000000000002</v>
      </c>
    </row>
    <row r="143" spans="1:3" x14ac:dyDescent="0.25">
      <c r="A143" t="s">
        <v>333</v>
      </c>
      <c r="B143" t="s">
        <v>130</v>
      </c>
      <c r="C143">
        <v>35</v>
      </c>
    </row>
    <row r="144" spans="1:3" x14ac:dyDescent="0.25">
      <c r="A144" t="s">
        <v>333</v>
      </c>
      <c r="B144" t="s">
        <v>131</v>
      </c>
      <c r="C144">
        <v>-0.1</v>
      </c>
    </row>
    <row r="145" spans="1:3" x14ac:dyDescent="0.25">
      <c r="A145" t="s">
        <v>333</v>
      </c>
      <c r="B145" t="s">
        <v>145</v>
      </c>
    </row>
    <row r="146" spans="1:3" x14ac:dyDescent="0.25">
      <c r="A146" t="s">
        <v>333</v>
      </c>
      <c r="B146" t="s">
        <v>132</v>
      </c>
      <c r="C146">
        <v>100</v>
      </c>
    </row>
    <row r="147" spans="1:3" x14ac:dyDescent="0.25">
      <c r="A147" t="s">
        <v>334</v>
      </c>
      <c r="B147" t="s">
        <v>129</v>
      </c>
      <c r="C147">
        <v>0.7</v>
      </c>
    </row>
    <row r="148" spans="1:3" x14ac:dyDescent="0.25">
      <c r="A148" t="s">
        <v>334</v>
      </c>
      <c r="B148" t="s">
        <v>130</v>
      </c>
      <c r="C148">
        <v>460</v>
      </c>
    </row>
    <row r="149" spans="1:3" x14ac:dyDescent="0.25">
      <c r="A149" t="s">
        <v>334</v>
      </c>
      <c r="B149" t="s">
        <v>131</v>
      </c>
      <c r="C149">
        <v>-0.5</v>
      </c>
    </row>
    <row r="150" spans="1:3" x14ac:dyDescent="0.25">
      <c r="A150" t="s">
        <v>334</v>
      </c>
      <c r="B150" t="s">
        <v>145</v>
      </c>
    </row>
    <row r="151" spans="1:3" x14ac:dyDescent="0.25">
      <c r="A151" t="s">
        <v>334</v>
      </c>
      <c r="B151" t="s">
        <v>132</v>
      </c>
      <c r="C151">
        <v>1000</v>
      </c>
    </row>
    <row r="152" spans="1:3" x14ac:dyDescent="0.25">
      <c r="A152" t="s">
        <v>335</v>
      </c>
      <c r="B152" t="s">
        <v>129</v>
      </c>
      <c r="C152">
        <v>3</v>
      </c>
    </row>
    <row r="153" spans="1:3" x14ac:dyDescent="0.25">
      <c r="A153" t="s">
        <v>335</v>
      </c>
      <c r="B153" t="s">
        <v>130</v>
      </c>
      <c r="C153">
        <v>22</v>
      </c>
    </row>
    <row r="154" spans="1:3" x14ac:dyDescent="0.25">
      <c r="A154" t="s">
        <v>335</v>
      </c>
      <c r="B154" t="s">
        <v>131</v>
      </c>
      <c r="C154">
        <v>-0.5</v>
      </c>
    </row>
    <row r="155" spans="1:3" x14ac:dyDescent="0.25">
      <c r="A155" t="s">
        <v>335</v>
      </c>
      <c r="B155" t="s">
        <v>145</v>
      </c>
    </row>
    <row r="156" spans="1:3" x14ac:dyDescent="0.25">
      <c r="A156" t="s">
        <v>335</v>
      </c>
      <c r="B156" t="s">
        <v>132</v>
      </c>
      <c r="C156">
        <v>100</v>
      </c>
    </row>
    <row r="157" spans="1:3" x14ac:dyDescent="0.25">
      <c r="A157" t="s">
        <v>336</v>
      </c>
      <c r="B157" t="s">
        <v>129</v>
      </c>
      <c r="C157">
        <v>14</v>
      </c>
    </row>
    <row r="158" spans="1:3" x14ac:dyDescent="0.25">
      <c r="A158" t="s">
        <v>336</v>
      </c>
      <c r="B158" t="s">
        <v>130</v>
      </c>
      <c r="C158">
        <v>4.3</v>
      </c>
    </row>
    <row r="159" spans="1:3" x14ac:dyDescent="0.25">
      <c r="A159" t="s">
        <v>336</v>
      </c>
      <c r="B159" t="s">
        <v>131</v>
      </c>
      <c r="C159">
        <v>-0.5</v>
      </c>
    </row>
    <row r="160" spans="1:3" x14ac:dyDescent="0.25">
      <c r="A160" t="s">
        <v>336</v>
      </c>
      <c r="B160" t="s">
        <v>145</v>
      </c>
    </row>
    <row r="161" spans="1:3" x14ac:dyDescent="0.25">
      <c r="A161" t="s">
        <v>336</v>
      </c>
      <c r="B161" t="s">
        <v>132</v>
      </c>
      <c r="C161">
        <v>20</v>
      </c>
    </row>
    <row r="162" spans="1:3" x14ac:dyDescent="0.25">
      <c r="A162" t="s">
        <v>337</v>
      </c>
      <c r="B162" t="s">
        <v>129</v>
      </c>
      <c r="C162">
        <v>2.5</v>
      </c>
    </row>
    <row r="163" spans="1:3" x14ac:dyDescent="0.25">
      <c r="A163" t="s">
        <v>337</v>
      </c>
      <c r="B163" t="s">
        <v>130</v>
      </c>
      <c r="C163">
        <v>2</v>
      </c>
    </row>
    <row r="164" spans="1:3" x14ac:dyDescent="0.25">
      <c r="A164" t="s">
        <v>337</v>
      </c>
      <c r="B164" t="s">
        <v>131</v>
      </c>
      <c r="C164">
        <v>-0.5</v>
      </c>
    </row>
    <row r="165" spans="1:3" x14ac:dyDescent="0.25">
      <c r="A165" t="s">
        <v>337</v>
      </c>
      <c r="B165" t="s">
        <v>145</v>
      </c>
    </row>
    <row r="166" spans="1:3" x14ac:dyDescent="0.25">
      <c r="A166" t="s">
        <v>337</v>
      </c>
      <c r="B166" t="s">
        <v>132</v>
      </c>
      <c r="C166">
        <v>20</v>
      </c>
    </row>
    <row r="167" spans="1:3" x14ac:dyDescent="0.25">
      <c r="A167" t="s">
        <v>338</v>
      </c>
      <c r="B167" t="s">
        <v>129</v>
      </c>
      <c r="C167">
        <v>10.5</v>
      </c>
    </row>
    <row r="168" spans="1:3" x14ac:dyDescent="0.25">
      <c r="A168" t="s">
        <v>338</v>
      </c>
      <c r="B168" t="s">
        <v>130</v>
      </c>
      <c r="C168">
        <v>20</v>
      </c>
    </row>
    <row r="169" spans="1:3" x14ac:dyDescent="0.25">
      <c r="A169" t="s">
        <v>338</v>
      </c>
      <c r="B169" t="s">
        <v>131</v>
      </c>
      <c r="C169">
        <v>-0.5</v>
      </c>
    </row>
    <row r="170" spans="1:3" x14ac:dyDescent="0.25">
      <c r="A170" t="s">
        <v>338</v>
      </c>
      <c r="B170" t="s">
        <v>145</v>
      </c>
    </row>
    <row r="171" spans="1:3" x14ac:dyDescent="0.25">
      <c r="A171" t="s">
        <v>338</v>
      </c>
      <c r="B171" t="s">
        <v>132</v>
      </c>
      <c r="C171">
        <v>100</v>
      </c>
    </row>
    <row r="172" spans="1:3" x14ac:dyDescent="0.25">
      <c r="A172" t="s">
        <v>339</v>
      </c>
      <c r="B172" t="s">
        <v>129</v>
      </c>
      <c r="C172">
        <v>1E-3</v>
      </c>
    </row>
    <row r="173" spans="1:3" x14ac:dyDescent="0.25">
      <c r="A173" t="s">
        <v>339</v>
      </c>
      <c r="B173" t="s">
        <v>130</v>
      </c>
    </row>
    <row r="174" spans="1:3" x14ac:dyDescent="0.25">
      <c r="A174" t="s">
        <v>339</v>
      </c>
      <c r="B174" t="s">
        <v>131</v>
      </c>
      <c r="C174">
        <v>-999</v>
      </c>
    </row>
    <row r="175" spans="1:3" x14ac:dyDescent="0.25">
      <c r="A175" t="s">
        <v>339</v>
      </c>
      <c r="B175" t="s">
        <v>145</v>
      </c>
      <c r="C175">
        <v>38.83</v>
      </c>
    </row>
    <row r="176" spans="1:3" x14ac:dyDescent="0.25">
      <c r="A176" t="s">
        <v>339</v>
      </c>
      <c r="B176" t="s">
        <v>132</v>
      </c>
      <c r="C176">
        <v>400</v>
      </c>
    </row>
    <row r="177" spans="1:3" x14ac:dyDescent="0.25">
      <c r="A177" t="s">
        <v>340</v>
      </c>
      <c r="B177" t="s">
        <v>129</v>
      </c>
      <c r="C177">
        <v>1E-3</v>
      </c>
    </row>
    <row r="178" spans="1:3" x14ac:dyDescent="0.25">
      <c r="A178" t="s">
        <v>340</v>
      </c>
      <c r="B178" t="s">
        <v>130</v>
      </c>
    </row>
    <row r="179" spans="1:3" x14ac:dyDescent="0.25">
      <c r="A179" t="s">
        <v>340</v>
      </c>
      <c r="B179" t="s">
        <v>131</v>
      </c>
      <c r="C179">
        <v>-999</v>
      </c>
    </row>
    <row r="180" spans="1:3" x14ac:dyDescent="0.25">
      <c r="A180" t="s">
        <v>340</v>
      </c>
      <c r="B180" t="s">
        <v>145</v>
      </c>
      <c r="C180">
        <v>228</v>
      </c>
    </row>
    <row r="181" spans="1:3" x14ac:dyDescent="0.25">
      <c r="A181" t="s">
        <v>340</v>
      </c>
      <c r="B181" t="s">
        <v>132</v>
      </c>
      <c r="C181">
        <v>2000</v>
      </c>
    </row>
    <row r="182" spans="1:3" x14ac:dyDescent="0.25">
      <c r="A182" t="s">
        <v>341</v>
      </c>
      <c r="B182" t="s">
        <v>129</v>
      </c>
      <c r="C182">
        <v>1E-3</v>
      </c>
    </row>
    <row r="183" spans="1:3" x14ac:dyDescent="0.25">
      <c r="A183" t="s">
        <v>341</v>
      </c>
      <c r="B183" t="s">
        <v>130</v>
      </c>
    </row>
    <row r="184" spans="1:3" x14ac:dyDescent="0.25">
      <c r="A184" t="s">
        <v>341</v>
      </c>
      <c r="B184" t="s">
        <v>131</v>
      </c>
      <c r="C184">
        <v>-999</v>
      </c>
    </row>
    <row r="185" spans="1:3" x14ac:dyDescent="0.25">
      <c r="A185" t="s">
        <v>341</v>
      </c>
      <c r="B185" t="s">
        <v>145</v>
      </c>
      <c r="C185">
        <v>114</v>
      </c>
    </row>
    <row r="186" spans="1:3" x14ac:dyDescent="0.25">
      <c r="A186" t="s">
        <v>341</v>
      </c>
      <c r="B186" t="s">
        <v>132</v>
      </c>
      <c r="C186">
        <v>2000</v>
      </c>
    </row>
    <row r="187" spans="1:3" x14ac:dyDescent="0.25">
      <c r="A187" t="s">
        <v>342</v>
      </c>
      <c r="B187" t="s">
        <v>129</v>
      </c>
      <c r="C187">
        <v>1E-3</v>
      </c>
    </row>
    <row r="188" spans="1:3" x14ac:dyDescent="0.25">
      <c r="A188" t="s">
        <v>342</v>
      </c>
      <c r="B188" t="s">
        <v>130</v>
      </c>
    </row>
    <row r="189" spans="1:3" x14ac:dyDescent="0.25">
      <c r="A189" t="s">
        <v>342</v>
      </c>
      <c r="B189" t="s">
        <v>131</v>
      </c>
      <c r="C189">
        <v>-999</v>
      </c>
    </row>
    <row r="190" spans="1:3" x14ac:dyDescent="0.25">
      <c r="A190" t="s">
        <v>342</v>
      </c>
      <c r="B190" t="s">
        <v>145</v>
      </c>
      <c r="C190">
        <v>262</v>
      </c>
    </row>
    <row r="191" spans="1:3" x14ac:dyDescent="0.25">
      <c r="A191" t="s">
        <v>342</v>
      </c>
      <c r="B191" t="s">
        <v>132</v>
      </c>
      <c r="C191">
        <v>2000</v>
      </c>
    </row>
    <row r="192" spans="1:3" x14ac:dyDescent="0.25">
      <c r="A192" t="s">
        <v>343</v>
      </c>
      <c r="B192" t="s">
        <v>129</v>
      </c>
      <c r="C192">
        <v>1E-3</v>
      </c>
    </row>
    <row r="193" spans="1:3" x14ac:dyDescent="0.25">
      <c r="A193" t="s">
        <v>343</v>
      </c>
      <c r="B193" t="s">
        <v>130</v>
      </c>
    </row>
    <row r="194" spans="1:3" x14ac:dyDescent="0.25">
      <c r="A194" t="s">
        <v>343</v>
      </c>
      <c r="B194" t="s">
        <v>131</v>
      </c>
      <c r="C194">
        <v>-999</v>
      </c>
    </row>
    <row r="195" spans="1:3" x14ac:dyDescent="0.25">
      <c r="A195" t="s">
        <v>343</v>
      </c>
      <c r="B195" t="s">
        <v>145</v>
      </c>
      <c r="C195">
        <v>1028</v>
      </c>
    </row>
    <row r="196" spans="1:3" x14ac:dyDescent="0.25">
      <c r="A196" t="s">
        <v>343</v>
      </c>
      <c r="B196" t="s">
        <v>132</v>
      </c>
      <c r="C196">
        <v>8000</v>
      </c>
    </row>
  </sheetData>
  <autoFilter ref="A1:C196" xr:uid="{F02DEA1A-0627-4FA3-8C95-326A86063434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294A7-8847-4059-B9C5-DCC8AF9576B7}">
  <dimension ref="A1:G53"/>
  <sheetViews>
    <sheetView workbookViewId="0">
      <selection activeCell="F56" sqref="F56"/>
    </sheetView>
  </sheetViews>
  <sheetFormatPr defaultRowHeight="15" x14ac:dyDescent="0.25"/>
  <cols>
    <col min="1" max="1" width="8.42578125" customWidth="1"/>
    <col min="2" max="2" width="12.140625" customWidth="1"/>
  </cols>
  <sheetData>
    <row r="1" spans="1:3" x14ac:dyDescent="0.25">
      <c r="A1" t="s">
        <v>478</v>
      </c>
      <c r="B1" t="s">
        <v>473</v>
      </c>
      <c r="C1" t="s">
        <v>345</v>
      </c>
    </row>
    <row r="2" spans="1:3" x14ac:dyDescent="0.25">
      <c r="A2" t="s">
        <v>479</v>
      </c>
      <c r="B2" t="s">
        <v>474</v>
      </c>
      <c r="C2">
        <v>1.9</v>
      </c>
    </row>
    <row r="3" spans="1:3" x14ac:dyDescent="0.25">
      <c r="A3" t="s">
        <v>479</v>
      </c>
      <c r="B3" t="s">
        <v>475</v>
      </c>
      <c r="C3">
        <v>0.374</v>
      </c>
    </row>
    <row r="4" spans="1:3" x14ac:dyDescent="0.25">
      <c r="A4" t="s">
        <v>479</v>
      </c>
      <c r="B4" t="s">
        <v>476</v>
      </c>
      <c r="C4">
        <v>5.5609999999999999</v>
      </c>
    </row>
    <row r="5" spans="1:3" x14ac:dyDescent="0.25">
      <c r="A5" t="s">
        <v>480</v>
      </c>
      <c r="B5" t="s">
        <v>474</v>
      </c>
      <c r="C5">
        <v>1.9</v>
      </c>
    </row>
    <row r="6" spans="1:3" x14ac:dyDescent="0.25">
      <c r="A6" t="s">
        <v>480</v>
      </c>
      <c r="B6" t="s">
        <v>475</v>
      </c>
      <c r="C6">
        <v>0.377</v>
      </c>
    </row>
    <row r="7" spans="1:3" x14ac:dyDescent="0.25">
      <c r="A7" t="s">
        <v>480</v>
      </c>
      <c r="B7" t="s">
        <v>476</v>
      </c>
      <c r="C7">
        <v>4.444</v>
      </c>
    </row>
    <row r="8" spans="1:3" x14ac:dyDescent="0.25">
      <c r="A8" t="s">
        <v>481</v>
      </c>
      <c r="B8" t="s">
        <v>474</v>
      </c>
      <c r="C8">
        <v>1.9</v>
      </c>
    </row>
    <row r="9" spans="1:3" x14ac:dyDescent="0.25">
      <c r="A9" t="s">
        <v>481</v>
      </c>
      <c r="B9" t="s">
        <v>475</v>
      </c>
      <c r="C9">
        <v>0.35799999999999998</v>
      </c>
    </row>
    <row r="10" spans="1:3" x14ac:dyDescent="0.25">
      <c r="A10" t="s">
        <v>481</v>
      </c>
      <c r="B10" t="s">
        <v>476</v>
      </c>
      <c r="C10">
        <v>3.7919999999999998</v>
      </c>
    </row>
    <row r="11" spans="1:3" x14ac:dyDescent="0.25">
      <c r="A11" t="s">
        <v>482</v>
      </c>
      <c r="B11" t="s">
        <v>474</v>
      </c>
      <c r="C11">
        <v>1.9</v>
      </c>
    </row>
    <row r="12" spans="1:3" x14ac:dyDescent="0.25">
      <c r="A12" t="s">
        <v>482</v>
      </c>
      <c r="B12" t="s">
        <v>475</v>
      </c>
      <c r="C12">
        <v>0.106</v>
      </c>
    </row>
    <row r="13" spans="1:3" x14ac:dyDescent="0.25">
      <c r="A13" t="s">
        <v>482</v>
      </c>
      <c r="B13" t="s">
        <v>476</v>
      </c>
      <c r="C13">
        <v>3.504</v>
      </c>
    </row>
    <row r="14" spans="1:3" x14ac:dyDescent="0.25">
      <c r="A14" t="s">
        <v>483</v>
      </c>
      <c r="B14" t="s">
        <v>474</v>
      </c>
      <c r="C14">
        <v>1.9</v>
      </c>
    </row>
    <row r="15" spans="1:3" x14ac:dyDescent="0.25">
      <c r="A15" t="s">
        <v>483</v>
      </c>
      <c r="B15" t="s">
        <v>475</v>
      </c>
      <c r="C15">
        <v>1.4999999999999999E-2</v>
      </c>
    </row>
    <row r="16" spans="1:3" x14ac:dyDescent="0.25">
      <c r="A16" t="s">
        <v>483</v>
      </c>
      <c r="B16" t="s">
        <v>476</v>
      </c>
      <c r="C16">
        <v>3.097</v>
      </c>
    </row>
    <row r="17" spans="1:3" x14ac:dyDescent="0.25">
      <c r="A17" t="s">
        <v>484</v>
      </c>
      <c r="B17" t="s">
        <v>474</v>
      </c>
      <c r="C17">
        <v>0.8</v>
      </c>
    </row>
    <row r="18" spans="1:3" x14ac:dyDescent="0.25">
      <c r="A18" t="s">
        <v>484</v>
      </c>
      <c r="B18" t="s">
        <v>475</v>
      </c>
      <c r="C18">
        <v>0</v>
      </c>
    </row>
    <row r="19" spans="1:3" x14ac:dyDescent="0.25">
      <c r="A19" t="s">
        <v>484</v>
      </c>
      <c r="B19" t="s">
        <v>476</v>
      </c>
      <c r="C19">
        <v>1.8129999999999999</v>
      </c>
    </row>
    <row r="20" spans="1:3" x14ac:dyDescent="0.25">
      <c r="A20" t="s">
        <v>485</v>
      </c>
      <c r="B20" t="s">
        <v>474</v>
      </c>
      <c r="C20">
        <v>0.8</v>
      </c>
    </row>
    <row r="21" spans="1:3" x14ac:dyDescent="0.25">
      <c r="A21" t="s">
        <v>485</v>
      </c>
      <c r="B21" t="s">
        <v>475</v>
      </c>
      <c r="C21">
        <v>0</v>
      </c>
    </row>
    <row r="22" spans="1:3" x14ac:dyDescent="0.25">
      <c r="A22" t="s">
        <v>485</v>
      </c>
      <c r="B22" t="s">
        <v>476</v>
      </c>
      <c r="C22">
        <v>1.304</v>
      </c>
    </row>
    <row r="23" spans="1:3" x14ac:dyDescent="0.25">
      <c r="A23" t="s">
        <v>485</v>
      </c>
      <c r="B23" t="s">
        <v>477</v>
      </c>
      <c r="C23">
        <v>0.3</v>
      </c>
    </row>
    <row r="24" spans="1:3" x14ac:dyDescent="0.25">
      <c r="A24" t="s">
        <v>486</v>
      </c>
      <c r="B24" t="s">
        <v>474</v>
      </c>
      <c r="C24">
        <v>0.8</v>
      </c>
    </row>
    <row r="25" spans="1:3" x14ac:dyDescent="0.25">
      <c r="A25" t="s">
        <v>486</v>
      </c>
      <c r="B25" t="s">
        <v>475</v>
      </c>
      <c r="C25">
        <v>8.0000000000000002E-3</v>
      </c>
    </row>
    <row r="26" spans="1:3" x14ac:dyDescent="0.25">
      <c r="A26" t="s">
        <v>486</v>
      </c>
      <c r="B26" t="s">
        <v>476</v>
      </c>
      <c r="C26">
        <v>1.1599999999999999</v>
      </c>
    </row>
    <row r="27" spans="1:3" x14ac:dyDescent="0.25">
      <c r="A27" t="s">
        <v>486</v>
      </c>
      <c r="B27" t="s">
        <v>477</v>
      </c>
      <c r="C27">
        <v>0.3</v>
      </c>
    </row>
    <row r="28" spans="1:3" x14ac:dyDescent="0.25">
      <c r="A28" t="s">
        <v>487</v>
      </c>
      <c r="B28" t="s">
        <v>474</v>
      </c>
      <c r="C28">
        <v>0.8</v>
      </c>
    </row>
    <row r="29" spans="1:3" x14ac:dyDescent="0.25">
      <c r="A29" t="s">
        <v>487</v>
      </c>
      <c r="B29" t="s">
        <v>475</v>
      </c>
      <c r="C29">
        <v>0</v>
      </c>
    </row>
    <row r="30" spans="1:3" x14ac:dyDescent="0.25">
      <c r="A30" t="s">
        <v>487</v>
      </c>
      <c r="B30" t="s">
        <v>476</v>
      </c>
      <c r="C30">
        <v>0.85199999999999998</v>
      </c>
    </row>
    <row r="31" spans="1:3" x14ac:dyDescent="0.25">
      <c r="A31" t="s">
        <v>487</v>
      </c>
      <c r="B31" t="s">
        <v>477</v>
      </c>
      <c r="C31">
        <v>0.3</v>
      </c>
    </row>
    <row r="32" spans="1:3" x14ac:dyDescent="0.25">
      <c r="A32" t="s">
        <v>488</v>
      </c>
      <c r="B32" t="s">
        <v>474</v>
      </c>
      <c r="C32">
        <v>0.8</v>
      </c>
    </row>
    <row r="33" spans="1:7" x14ac:dyDescent="0.25">
      <c r="A33" t="s">
        <v>488</v>
      </c>
      <c r="B33" t="s">
        <v>475</v>
      </c>
      <c r="C33">
        <v>0</v>
      </c>
    </row>
    <row r="34" spans="1:7" x14ac:dyDescent="0.25">
      <c r="A34" t="s">
        <v>488</v>
      </c>
      <c r="B34" t="s">
        <v>476</v>
      </c>
      <c r="C34">
        <v>0.79300000000000004</v>
      </c>
    </row>
    <row r="35" spans="1:7" x14ac:dyDescent="0.25">
      <c r="A35" t="s">
        <v>488</v>
      </c>
      <c r="B35" t="s">
        <v>477</v>
      </c>
      <c r="C35">
        <v>0.3</v>
      </c>
    </row>
    <row r="36" spans="1:7" x14ac:dyDescent="0.25">
      <c r="A36" t="s">
        <v>489</v>
      </c>
      <c r="B36" t="s">
        <v>474</v>
      </c>
      <c r="C36">
        <v>0.8</v>
      </c>
    </row>
    <row r="37" spans="1:7" x14ac:dyDescent="0.25">
      <c r="A37" t="s">
        <v>489</v>
      </c>
      <c r="B37" t="s">
        <v>475</v>
      </c>
      <c r="C37">
        <v>0</v>
      </c>
    </row>
    <row r="38" spans="1:7" x14ac:dyDescent="0.25">
      <c r="A38" t="s">
        <v>489</v>
      </c>
      <c r="B38" t="s">
        <v>476</v>
      </c>
      <c r="C38">
        <v>1.08</v>
      </c>
    </row>
    <row r="39" spans="1:7" x14ac:dyDescent="0.25">
      <c r="A39" t="s">
        <v>489</v>
      </c>
      <c r="B39" t="s">
        <v>477</v>
      </c>
      <c r="C39">
        <v>0.3</v>
      </c>
    </row>
    <row r="40" spans="1:7" x14ac:dyDescent="0.25">
      <c r="A40" t="s">
        <v>490</v>
      </c>
      <c r="B40" t="s">
        <v>474</v>
      </c>
      <c r="C40">
        <v>0.8</v>
      </c>
    </row>
    <row r="41" spans="1:7" x14ac:dyDescent="0.25">
      <c r="A41" t="s">
        <v>490</v>
      </c>
      <c r="B41" t="s">
        <v>475</v>
      </c>
      <c r="C41">
        <v>0</v>
      </c>
    </row>
    <row r="42" spans="1:7" x14ac:dyDescent="0.25">
      <c r="A42" t="s">
        <v>490</v>
      </c>
      <c r="B42" t="s">
        <v>476</v>
      </c>
      <c r="C42">
        <v>1.49</v>
      </c>
    </row>
    <row r="43" spans="1:7" x14ac:dyDescent="0.25">
      <c r="A43" t="s">
        <v>490</v>
      </c>
      <c r="B43" t="s">
        <v>477</v>
      </c>
      <c r="C43">
        <v>0.3</v>
      </c>
    </row>
    <row r="44" spans="1:7" x14ac:dyDescent="0.25">
      <c r="A44" t="s">
        <v>495</v>
      </c>
      <c r="B44" t="s">
        <v>477</v>
      </c>
      <c r="C44">
        <v>0.3</v>
      </c>
    </row>
    <row r="45" spans="1:7" x14ac:dyDescent="0.25">
      <c r="A45" t="s">
        <v>617</v>
      </c>
      <c r="B45" t="s">
        <v>477</v>
      </c>
      <c r="C45">
        <v>0.3</v>
      </c>
    </row>
    <row r="46" spans="1:7" x14ac:dyDescent="0.25">
      <c r="A46" t="s">
        <v>496</v>
      </c>
      <c r="B46" t="s">
        <v>477</v>
      </c>
      <c r="C46">
        <v>0.6</v>
      </c>
    </row>
    <row r="47" spans="1:7" x14ac:dyDescent="0.25">
      <c r="A47" t="s">
        <v>497</v>
      </c>
      <c r="B47" t="s">
        <v>477</v>
      </c>
      <c r="C47">
        <v>0.6</v>
      </c>
    </row>
    <row r="48" spans="1:7" x14ac:dyDescent="0.25">
      <c r="A48" t="s">
        <v>498</v>
      </c>
      <c r="B48" t="s">
        <v>477</v>
      </c>
      <c r="C48">
        <v>0.7</v>
      </c>
      <c r="G48" s="10"/>
    </row>
    <row r="49" spans="1:7" x14ac:dyDescent="0.25">
      <c r="A49" t="s">
        <v>499</v>
      </c>
      <c r="B49" t="s">
        <v>477</v>
      </c>
      <c r="C49">
        <v>0.7</v>
      </c>
      <c r="G49" s="10"/>
    </row>
    <row r="50" spans="1:7" x14ac:dyDescent="0.25">
      <c r="G50" s="10"/>
    </row>
    <row r="51" spans="1:7" x14ac:dyDescent="0.25">
      <c r="G51" s="10"/>
    </row>
    <row r="52" spans="1:7" x14ac:dyDescent="0.25">
      <c r="G52" s="10"/>
    </row>
    <row r="53" spans="1:7" x14ac:dyDescent="0.25">
      <c r="G53" s="10"/>
    </row>
  </sheetData>
  <autoFilter ref="A1:C49" xr:uid="{543294A7-8847-4059-B9C5-DCC8AF9576B7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3A33D-E39B-4857-9733-11C96C659C3D}">
  <dimension ref="A1:D211"/>
  <sheetViews>
    <sheetView workbookViewId="0">
      <selection sqref="A1:D211"/>
    </sheetView>
  </sheetViews>
  <sheetFormatPr defaultRowHeight="15" x14ac:dyDescent="0.25"/>
  <cols>
    <col min="2" max="2" width="12.7109375" bestFit="1" customWidth="1"/>
  </cols>
  <sheetData>
    <row r="1" spans="1:4" x14ac:dyDescent="0.25">
      <c r="A1" t="s">
        <v>146</v>
      </c>
      <c r="B1" t="s">
        <v>263</v>
      </c>
      <c r="C1" t="s">
        <v>346</v>
      </c>
      <c r="D1" t="s">
        <v>345</v>
      </c>
    </row>
    <row r="2" spans="1:4" x14ac:dyDescent="0.25">
      <c r="A2" t="s">
        <v>151</v>
      </c>
      <c r="B2" t="s">
        <v>41</v>
      </c>
      <c r="C2" t="s">
        <v>264</v>
      </c>
      <c r="D2">
        <v>1.65</v>
      </c>
    </row>
    <row r="3" spans="1:4" x14ac:dyDescent="0.25">
      <c r="A3" t="s">
        <v>151</v>
      </c>
      <c r="B3" t="s">
        <v>41</v>
      </c>
      <c r="C3" t="s">
        <v>265</v>
      </c>
    </row>
    <row r="4" spans="1:4" x14ac:dyDescent="0.25">
      <c r="A4" t="s">
        <v>151</v>
      </c>
      <c r="B4" t="s">
        <v>41</v>
      </c>
      <c r="C4" t="s">
        <v>266</v>
      </c>
    </row>
    <row r="5" spans="1:4" x14ac:dyDescent="0.25">
      <c r="A5" t="s">
        <v>151</v>
      </c>
      <c r="B5" t="s">
        <v>41</v>
      </c>
      <c r="C5" t="s">
        <v>145</v>
      </c>
    </row>
    <row r="6" spans="1:4" x14ac:dyDescent="0.25">
      <c r="A6" t="s">
        <v>151</v>
      </c>
      <c r="B6" t="s">
        <v>41</v>
      </c>
      <c r="C6" t="s">
        <v>132</v>
      </c>
      <c r="D6">
        <v>782.70699999999999</v>
      </c>
    </row>
    <row r="7" spans="1:4" x14ac:dyDescent="0.25">
      <c r="A7" t="s">
        <v>152</v>
      </c>
      <c r="B7" t="s">
        <v>41</v>
      </c>
      <c r="C7" t="s">
        <v>264</v>
      </c>
      <c r="D7">
        <v>1.65</v>
      </c>
    </row>
    <row r="8" spans="1:4" x14ac:dyDescent="0.25">
      <c r="A8" t="s">
        <v>152</v>
      </c>
      <c r="B8" t="s">
        <v>41</v>
      </c>
      <c r="C8" t="s">
        <v>265</v>
      </c>
    </row>
    <row r="9" spans="1:4" x14ac:dyDescent="0.25">
      <c r="A9" t="s">
        <v>152</v>
      </c>
      <c r="B9" t="s">
        <v>41</v>
      </c>
      <c r="C9" t="s">
        <v>266</v>
      </c>
    </row>
    <row r="10" spans="1:4" x14ac:dyDescent="0.25">
      <c r="A10" t="s">
        <v>152</v>
      </c>
      <c r="B10" t="s">
        <v>41</v>
      </c>
      <c r="C10" t="s">
        <v>145</v>
      </c>
    </row>
    <row r="11" spans="1:4" x14ac:dyDescent="0.25">
      <c r="A11" t="s">
        <v>152</v>
      </c>
      <c r="B11" t="s">
        <v>41</v>
      </c>
      <c r="C11" t="s">
        <v>132</v>
      </c>
      <c r="D11">
        <v>782.70699999999999</v>
      </c>
    </row>
    <row r="12" spans="1:4" x14ac:dyDescent="0.25">
      <c r="A12" t="s">
        <v>153</v>
      </c>
      <c r="B12" t="s">
        <v>41</v>
      </c>
      <c r="C12" t="s">
        <v>264</v>
      </c>
      <c r="D12">
        <v>1.65</v>
      </c>
    </row>
    <row r="13" spans="1:4" x14ac:dyDescent="0.25">
      <c r="A13" t="s">
        <v>153</v>
      </c>
      <c r="B13" t="s">
        <v>41</v>
      </c>
      <c r="C13" t="s">
        <v>265</v>
      </c>
    </row>
    <row r="14" spans="1:4" x14ac:dyDescent="0.25">
      <c r="A14" t="s">
        <v>153</v>
      </c>
      <c r="B14" t="s">
        <v>41</v>
      </c>
      <c r="C14" t="s">
        <v>266</v>
      </c>
    </row>
    <row r="15" spans="1:4" x14ac:dyDescent="0.25">
      <c r="A15" t="s">
        <v>153</v>
      </c>
      <c r="B15" t="s">
        <v>41</v>
      </c>
      <c r="C15" t="s">
        <v>145</v>
      </c>
    </row>
    <row r="16" spans="1:4" x14ac:dyDescent="0.25">
      <c r="A16" t="s">
        <v>153</v>
      </c>
      <c r="B16" t="s">
        <v>41</v>
      </c>
      <c r="C16" t="s">
        <v>132</v>
      </c>
      <c r="D16">
        <v>782.70699999999999</v>
      </c>
    </row>
    <row r="17" spans="1:4" x14ac:dyDescent="0.25">
      <c r="A17" t="s">
        <v>151</v>
      </c>
      <c r="B17" t="s">
        <v>20</v>
      </c>
      <c r="C17" t="s">
        <v>264</v>
      </c>
      <c r="D17">
        <v>1.47</v>
      </c>
    </row>
    <row r="18" spans="1:4" x14ac:dyDescent="0.25">
      <c r="A18" t="s">
        <v>151</v>
      </c>
      <c r="B18" t="s">
        <v>20</v>
      </c>
      <c r="C18" t="s">
        <v>265</v>
      </c>
    </row>
    <row r="19" spans="1:4" x14ac:dyDescent="0.25">
      <c r="A19" t="s">
        <v>151</v>
      </c>
      <c r="B19" t="s">
        <v>20</v>
      </c>
      <c r="C19" t="s">
        <v>266</v>
      </c>
    </row>
    <row r="20" spans="1:4" x14ac:dyDescent="0.25">
      <c r="A20" t="s">
        <v>151</v>
      </c>
      <c r="B20" t="s">
        <v>20</v>
      </c>
      <c r="C20" t="s">
        <v>145</v>
      </c>
    </row>
    <row r="21" spans="1:4" x14ac:dyDescent="0.25">
      <c r="A21" t="s">
        <v>151</v>
      </c>
      <c r="B21" t="s">
        <v>20</v>
      </c>
      <c r="C21" t="s">
        <v>132</v>
      </c>
      <c r="D21">
        <v>0</v>
      </c>
    </row>
    <row r="22" spans="1:4" x14ac:dyDescent="0.25">
      <c r="A22" t="s">
        <v>152</v>
      </c>
      <c r="B22" t="s">
        <v>20</v>
      </c>
      <c r="C22" t="s">
        <v>264</v>
      </c>
      <c r="D22">
        <v>1.47</v>
      </c>
    </row>
    <row r="23" spans="1:4" x14ac:dyDescent="0.25">
      <c r="A23" t="s">
        <v>152</v>
      </c>
      <c r="B23" t="s">
        <v>20</v>
      </c>
      <c r="C23" t="s">
        <v>265</v>
      </c>
    </row>
    <row r="24" spans="1:4" x14ac:dyDescent="0.25">
      <c r="A24" t="s">
        <v>152</v>
      </c>
      <c r="B24" t="s">
        <v>20</v>
      </c>
      <c r="C24" t="s">
        <v>266</v>
      </c>
    </row>
    <row r="25" spans="1:4" x14ac:dyDescent="0.25">
      <c r="A25" t="s">
        <v>152</v>
      </c>
      <c r="B25" t="s">
        <v>20</v>
      </c>
      <c r="C25" t="s">
        <v>145</v>
      </c>
    </row>
    <row r="26" spans="1:4" x14ac:dyDescent="0.25">
      <c r="A26" t="s">
        <v>152</v>
      </c>
      <c r="B26" t="s">
        <v>20</v>
      </c>
      <c r="C26" t="s">
        <v>132</v>
      </c>
      <c r="D26">
        <v>0</v>
      </c>
    </row>
    <row r="27" spans="1:4" x14ac:dyDescent="0.25">
      <c r="A27" t="s">
        <v>153</v>
      </c>
      <c r="B27" t="s">
        <v>20</v>
      </c>
      <c r="C27" t="s">
        <v>264</v>
      </c>
      <c r="D27">
        <v>1.47</v>
      </c>
    </row>
    <row r="28" spans="1:4" x14ac:dyDescent="0.25">
      <c r="A28" t="s">
        <v>153</v>
      </c>
      <c r="B28" t="s">
        <v>20</v>
      </c>
      <c r="C28" t="s">
        <v>265</v>
      </c>
    </row>
    <row r="29" spans="1:4" x14ac:dyDescent="0.25">
      <c r="A29" t="s">
        <v>153</v>
      </c>
      <c r="B29" t="s">
        <v>20</v>
      </c>
      <c r="C29" t="s">
        <v>266</v>
      </c>
    </row>
    <row r="30" spans="1:4" x14ac:dyDescent="0.25">
      <c r="A30" t="s">
        <v>153</v>
      </c>
      <c r="B30" t="s">
        <v>20</v>
      </c>
      <c r="C30" t="s">
        <v>145</v>
      </c>
    </row>
    <row r="31" spans="1:4" x14ac:dyDescent="0.25">
      <c r="A31" t="s">
        <v>153</v>
      </c>
      <c r="B31" t="s">
        <v>20</v>
      </c>
      <c r="C31" t="s">
        <v>132</v>
      </c>
      <c r="D31">
        <v>0</v>
      </c>
    </row>
    <row r="32" spans="1:4" x14ac:dyDescent="0.25">
      <c r="A32" t="s">
        <v>151</v>
      </c>
      <c r="B32" t="s">
        <v>42</v>
      </c>
      <c r="C32" t="s">
        <v>264</v>
      </c>
      <c r="D32">
        <v>3.96</v>
      </c>
    </row>
    <row r="33" spans="1:4" x14ac:dyDescent="0.25">
      <c r="A33" t="s">
        <v>151</v>
      </c>
      <c r="B33" t="s">
        <v>42</v>
      </c>
      <c r="C33" t="s">
        <v>265</v>
      </c>
    </row>
    <row r="34" spans="1:4" x14ac:dyDescent="0.25">
      <c r="A34" t="s">
        <v>151</v>
      </c>
      <c r="B34" t="s">
        <v>42</v>
      </c>
      <c r="C34" t="s">
        <v>266</v>
      </c>
    </row>
    <row r="35" spans="1:4" x14ac:dyDescent="0.25">
      <c r="A35" t="s">
        <v>151</v>
      </c>
      <c r="B35" t="s">
        <v>42</v>
      </c>
      <c r="C35" t="s">
        <v>145</v>
      </c>
    </row>
    <row r="36" spans="1:4" x14ac:dyDescent="0.25">
      <c r="A36" t="s">
        <v>151</v>
      </c>
      <c r="B36" t="s">
        <v>42</v>
      </c>
      <c r="C36" t="s">
        <v>132</v>
      </c>
      <c r="D36">
        <v>80.275000000000006</v>
      </c>
    </row>
    <row r="37" spans="1:4" x14ac:dyDescent="0.25">
      <c r="A37" t="s">
        <v>152</v>
      </c>
      <c r="B37" t="s">
        <v>42</v>
      </c>
      <c r="C37" t="s">
        <v>264</v>
      </c>
      <c r="D37">
        <v>3.96</v>
      </c>
    </row>
    <row r="38" spans="1:4" x14ac:dyDescent="0.25">
      <c r="A38" t="s">
        <v>152</v>
      </c>
      <c r="B38" t="s">
        <v>42</v>
      </c>
      <c r="C38" t="s">
        <v>265</v>
      </c>
    </row>
    <row r="39" spans="1:4" x14ac:dyDescent="0.25">
      <c r="A39" t="s">
        <v>152</v>
      </c>
      <c r="B39" t="s">
        <v>42</v>
      </c>
      <c r="C39" t="s">
        <v>266</v>
      </c>
    </row>
    <row r="40" spans="1:4" x14ac:dyDescent="0.25">
      <c r="A40" t="s">
        <v>152</v>
      </c>
      <c r="B40" t="s">
        <v>42</v>
      </c>
      <c r="C40" t="s">
        <v>145</v>
      </c>
    </row>
    <row r="41" spans="1:4" x14ac:dyDescent="0.25">
      <c r="A41" t="s">
        <v>152</v>
      </c>
      <c r="B41" t="s">
        <v>42</v>
      </c>
      <c r="C41" t="s">
        <v>132</v>
      </c>
      <c r="D41">
        <v>80.275000000000006</v>
      </c>
    </row>
    <row r="42" spans="1:4" x14ac:dyDescent="0.25">
      <c r="A42" t="s">
        <v>153</v>
      </c>
      <c r="B42" t="s">
        <v>42</v>
      </c>
      <c r="C42" t="s">
        <v>264</v>
      </c>
      <c r="D42">
        <v>3.96</v>
      </c>
    </row>
    <row r="43" spans="1:4" x14ac:dyDescent="0.25">
      <c r="A43" t="s">
        <v>153</v>
      </c>
      <c r="B43" t="s">
        <v>42</v>
      </c>
      <c r="C43" t="s">
        <v>265</v>
      </c>
    </row>
    <row r="44" spans="1:4" x14ac:dyDescent="0.25">
      <c r="A44" t="s">
        <v>153</v>
      </c>
      <c r="B44" t="s">
        <v>42</v>
      </c>
      <c r="C44" t="s">
        <v>266</v>
      </c>
    </row>
    <row r="45" spans="1:4" x14ac:dyDescent="0.25">
      <c r="A45" t="s">
        <v>153</v>
      </c>
      <c r="B45" t="s">
        <v>42</v>
      </c>
      <c r="C45" t="s">
        <v>145</v>
      </c>
    </row>
    <row r="46" spans="1:4" x14ac:dyDescent="0.25">
      <c r="A46" t="s">
        <v>153</v>
      </c>
      <c r="B46" t="s">
        <v>42</v>
      </c>
      <c r="C46" t="s">
        <v>132</v>
      </c>
      <c r="D46">
        <v>80.275000000000006</v>
      </c>
    </row>
    <row r="47" spans="1:4" x14ac:dyDescent="0.25">
      <c r="A47" t="s">
        <v>151</v>
      </c>
      <c r="B47" t="s">
        <v>269</v>
      </c>
      <c r="C47" t="s">
        <v>264</v>
      </c>
      <c r="D47">
        <v>9.0280000000000005</v>
      </c>
    </row>
    <row r="48" spans="1:4" x14ac:dyDescent="0.25">
      <c r="A48" t="s">
        <v>151</v>
      </c>
      <c r="B48" t="s">
        <v>269</v>
      </c>
      <c r="C48" t="s">
        <v>265</v>
      </c>
    </row>
    <row r="49" spans="1:4" x14ac:dyDescent="0.25">
      <c r="A49" t="s">
        <v>151</v>
      </c>
      <c r="B49" t="s">
        <v>269</v>
      </c>
      <c r="C49" t="s">
        <v>266</v>
      </c>
    </row>
    <row r="50" spans="1:4" x14ac:dyDescent="0.25">
      <c r="A50" t="s">
        <v>151</v>
      </c>
      <c r="B50" t="s">
        <v>269</v>
      </c>
      <c r="C50" t="s">
        <v>145</v>
      </c>
    </row>
    <row r="51" spans="1:4" x14ac:dyDescent="0.25">
      <c r="A51" t="s">
        <v>151</v>
      </c>
      <c r="B51" t="s">
        <v>269</v>
      </c>
      <c r="C51" t="s">
        <v>132</v>
      </c>
      <c r="D51">
        <v>0</v>
      </c>
    </row>
    <row r="52" spans="1:4" x14ac:dyDescent="0.25">
      <c r="A52" t="s">
        <v>152</v>
      </c>
      <c r="B52" t="s">
        <v>269</v>
      </c>
      <c r="C52" t="s">
        <v>264</v>
      </c>
      <c r="D52">
        <v>9.0280000000000005</v>
      </c>
    </row>
    <row r="53" spans="1:4" x14ac:dyDescent="0.25">
      <c r="A53" t="s">
        <v>152</v>
      </c>
      <c r="B53" t="s">
        <v>269</v>
      </c>
      <c r="C53" t="s">
        <v>265</v>
      </c>
    </row>
    <row r="54" spans="1:4" x14ac:dyDescent="0.25">
      <c r="A54" t="s">
        <v>152</v>
      </c>
      <c r="B54" t="s">
        <v>269</v>
      </c>
      <c r="C54" t="s">
        <v>266</v>
      </c>
    </row>
    <row r="55" spans="1:4" x14ac:dyDescent="0.25">
      <c r="A55" t="s">
        <v>152</v>
      </c>
      <c r="B55" t="s">
        <v>269</v>
      </c>
      <c r="C55" t="s">
        <v>145</v>
      </c>
    </row>
    <row r="56" spans="1:4" x14ac:dyDescent="0.25">
      <c r="A56" t="s">
        <v>152</v>
      </c>
      <c r="B56" t="s">
        <v>269</v>
      </c>
      <c r="C56" t="s">
        <v>132</v>
      </c>
      <c r="D56">
        <v>0</v>
      </c>
    </row>
    <row r="57" spans="1:4" x14ac:dyDescent="0.25">
      <c r="A57" t="s">
        <v>153</v>
      </c>
      <c r="B57" t="s">
        <v>269</v>
      </c>
      <c r="C57" t="s">
        <v>264</v>
      </c>
      <c r="D57">
        <v>9.0280000000000005</v>
      </c>
    </row>
    <row r="58" spans="1:4" x14ac:dyDescent="0.25">
      <c r="A58" t="s">
        <v>153</v>
      </c>
      <c r="B58" t="s">
        <v>269</v>
      </c>
      <c r="C58" t="s">
        <v>265</v>
      </c>
    </row>
    <row r="59" spans="1:4" x14ac:dyDescent="0.25">
      <c r="A59" t="s">
        <v>153</v>
      </c>
      <c r="B59" t="s">
        <v>269</v>
      </c>
      <c r="C59" t="s">
        <v>266</v>
      </c>
    </row>
    <row r="60" spans="1:4" x14ac:dyDescent="0.25">
      <c r="A60" t="s">
        <v>153</v>
      </c>
      <c r="B60" t="s">
        <v>269</v>
      </c>
      <c r="C60" t="s">
        <v>145</v>
      </c>
    </row>
    <row r="61" spans="1:4" x14ac:dyDescent="0.25">
      <c r="A61" t="s">
        <v>153</v>
      </c>
      <c r="B61" t="s">
        <v>269</v>
      </c>
      <c r="C61" t="s">
        <v>132</v>
      </c>
      <c r="D61">
        <v>0</v>
      </c>
    </row>
    <row r="62" spans="1:4" x14ac:dyDescent="0.25">
      <c r="A62" t="s">
        <v>151</v>
      </c>
      <c r="B62" t="s">
        <v>270</v>
      </c>
      <c r="C62" t="s">
        <v>264</v>
      </c>
      <c r="D62">
        <v>3.87</v>
      </c>
    </row>
    <row r="63" spans="1:4" x14ac:dyDescent="0.25">
      <c r="A63" t="s">
        <v>151</v>
      </c>
      <c r="B63" t="s">
        <v>270</v>
      </c>
      <c r="C63" t="s">
        <v>265</v>
      </c>
    </row>
    <row r="64" spans="1:4" x14ac:dyDescent="0.25">
      <c r="A64" t="s">
        <v>151</v>
      </c>
      <c r="B64" t="s">
        <v>270</v>
      </c>
      <c r="C64" t="s">
        <v>266</v>
      </c>
    </row>
    <row r="65" spans="1:4" x14ac:dyDescent="0.25">
      <c r="A65" t="s">
        <v>151</v>
      </c>
      <c r="B65" t="s">
        <v>270</v>
      </c>
      <c r="C65" t="s">
        <v>145</v>
      </c>
    </row>
    <row r="66" spans="1:4" x14ac:dyDescent="0.25">
      <c r="A66" t="s">
        <v>151</v>
      </c>
      <c r="B66" t="s">
        <v>270</v>
      </c>
      <c r="C66" t="s">
        <v>132</v>
      </c>
      <c r="D66">
        <v>0</v>
      </c>
    </row>
    <row r="67" spans="1:4" x14ac:dyDescent="0.25">
      <c r="A67" t="s">
        <v>152</v>
      </c>
      <c r="B67" t="s">
        <v>270</v>
      </c>
      <c r="C67" t="s">
        <v>264</v>
      </c>
      <c r="D67">
        <v>3.87</v>
      </c>
    </row>
    <row r="68" spans="1:4" x14ac:dyDescent="0.25">
      <c r="A68" t="s">
        <v>152</v>
      </c>
      <c r="B68" t="s">
        <v>270</v>
      </c>
      <c r="C68" t="s">
        <v>265</v>
      </c>
    </row>
    <row r="69" spans="1:4" x14ac:dyDescent="0.25">
      <c r="A69" t="s">
        <v>152</v>
      </c>
      <c r="B69" t="s">
        <v>270</v>
      </c>
      <c r="C69" t="s">
        <v>266</v>
      </c>
    </row>
    <row r="70" spans="1:4" x14ac:dyDescent="0.25">
      <c r="A70" t="s">
        <v>152</v>
      </c>
      <c r="B70" t="s">
        <v>270</v>
      </c>
      <c r="C70" t="s">
        <v>145</v>
      </c>
    </row>
    <row r="71" spans="1:4" x14ac:dyDescent="0.25">
      <c r="A71" t="s">
        <v>152</v>
      </c>
      <c r="B71" t="s">
        <v>270</v>
      </c>
      <c r="C71" t="s">
        <v>132</v>
      </c>
      <c r="D71">
        <v>0</v>
      </c>
    </row>
    <row r="72" spans="1:4" x14ac:dyDescent="0.25">
      <c r="A72" t="s">
        <v>153</v>
      </c>
      <c r="B72" t="s">
        <v>270</v>
      </c>
      <c r="C72" t="s">
        <v>264</v>
      </c>
      <c r="D72">
        <v>3.87</v>
      </c>
    </row>
    <row r="73" spans="1:4" x14ac:dyDescent="0.25">
      <c r="A73" t="s">
        <v>153</v>
      </c>
      <c r="B73" t="s">
        <v>270</v>
      </c>
      <c r="C73" t="s">
        <v>265</v>
      </c>
    </row>
    <row r="74" spans="1:4" x14ac:dyDescent="0.25">
      <c r="A74" t="s">
        <v>153</v>
      </c>
      <c r="B74" t="s">
        <v>270</v>
      </c>
      <c r="C74" t="s">
        <v>266</v>
      </c>
    </row>
    <row r="75" spans="1:4" x14ac:dyDescent="0.25">
      <c r="A75" t="s">
        <v>153</v>
      </c>
      <c r="B75" t="s">
        <v>270</v>
      </c>
      <c r="C75" t="s">
        <v>145</v>
      </c>
    </row>
    <row r="76" spans="1:4" x14ac:dyDescent="0.25">
      <c r="A76" t="s">
        <v>153</v>
      </c>
      <c r="B76" t="s">
        <v>270</v>
      </c>
      <c r="C76" t="s">
        <v>132</v>
      </c>
      <c r="D76">
        <v>0</v>
      </c>
    </row>
    <row r="77" spans="1:4" x14ac:dyDescent="0.25">
      <c r="A77" t="s">
        <v>151</v>
      </c>
      <c r="B77" t="s">
        <v>271</v>
      </c>
      <c r="C77" t="s">
        <v>264</v>
      </c>
      <c r="D77">
        <v>31.946000000000002</v>
      </c>
    </row>
    <row r="78" spans="1:4" x14ac:dyDescent="0.25">
      <c r="A78" t="s">
        <v>151</v>
      </c>
      <c r="B78" t="s">
        <v>271</v>
      </c>
      <c r="C78" t="s">
        <v>265</v>
      </c>
    </row>
    <row r="79" spans="1:4" x14ac:dyDescent="0.25">
      <c r="A79" t="s">
        <v>151</v>
      </c>
      <c r="B79" t="s">
        <v>271</v>
      </c>
      <c r="C79" t="s">
        <v>266</v>
      </c>
    </row>
    <row r="80" spans="1:4" x14ac:dyDescent="0.25">
      <c r="A80" t="s">
        <v>151</v>
      </c>
      <c r="B80" t="s">
        <v>271</v>
      </c>
      <c r="C80" t="s">
        <v>145</v>
      </c>
    </row>
    <row r="81" spans="1:4" x14ac:dyDescent="0.25">
      <c r="A81" t="s">
        <v>151</v>
      </c>
      <c r="B81" t="s">
        <v>271</v>
      </c>
      <c r="C81" t="s">
        <v>132</v>
      </c>
      <c r="D81">
        <v>0</v>
      </c>
    </row>
    <row r="82" spans="1:4" x14ac:dyDescent="0.25">
      <c r="A82" t="s">
        <v>152</v>
      </c>
      <c r="B82" t="s">
        <v>271</v>
      </c>
      <c r="C82" t="s">
        <v>264</v>
      </c>
      <c r="D82">
        <v>31.946000000000002</v>
      </c>
    </row>
    <row r="83" spans="1:4" x14ac:dyDescent="0.25">
      <c r="A83" t="s">
        <v>152</v>
      </c>
      <c r="B83" t="s">
        <v>271</v>
      </c>
      <c r="C83" t="s">
        <v>265</v>
      </c>
    </row>
    <row r="84" spans="1:4" x14ac:dyDescent="0.25">
      <c r="A84" t="s">
        <v>152</v>
      </c>
      <c r="B84" t="s">
        <v>271</v>
      </c>
      <c r="C84" t="s">
        <v>266</v>
      </c>
    </row>
    <row r="85" spans="1:4" x14ac:dyDescent="0.25">
      <c r="A85" t="s">
        <v>152</v>
      </c>
      <c r="B85" t="s">
        <v>271</v>
      </c>
      <c r="C85" t="s">
        <v>145</v>
      </c>
    </row>
    <row r="86" spans="1:4" x14ac:dyDescent="0.25">
      <c r="A86" t="s">
        <v>152</v>
      </c>
      <c r="B86" t="s">
        <v>271</v>
      </c>
      <c r="C86" t="s">
        <v>132</v>
      </c>
      <c r="D86">
        <v>0</v>
      </c>
    </row>
    <row r="87" spans="1:4" x14ac:dyDescent="0.25">
      <c r="A87" t="s">
        <v>153</v>
      </c>
      <c r="B87" t="s">
        <v>271</v>
      </c>
      <c r="C87" t="s">
        <v>264</v>
      </c>
      <c r="D87">
        <v>31.946000000000002</v>
      </c>
    </row>
    <row r="88" spans="1:4" x14ac:dyDescent="0.25">
      <c r="A88" t="s">
        <v>153</v>
      </c>
      <c r="B88" t="s">
        <v>271</v>
      </c>
      <c r="C88" t="s">
        <v>265</v>
      </c>
    </row>
    <row r="89" spans="1:4" x14ac:dyDescent="0.25">
      <c r="A89" t="s">
        <v>153</v>
      </c>
      <c r="B89" t="s">
        <v>271</v>
      </c>
      <c r="C89" t="s">
        <v>266</v>
      </c>
    </row>
    <row r="90" spans="1:4" x14ac:dyDescent="0.25">
      <c r="A90" t="s">
        <v>153</v>
      </c>
      <c r="B90" t="s">
        <v>271</v>
      </c>
      <c r="C90" t="s">
        <v>145</v>
      </c>
    </row>
    <row r="91" spans="1:4" x14ac:dyDescent="0.25">
      <c r="A91" t="s">
        <v>153</v>
      </c>
      <c r="B91" t="s">
        <v>271</v>
      </c>
      <c r="C91" t="s">
        <v>132</v>
      </c>
      <c r="D91">
        <v>0</v>
      </c>
    </row>
    <row r="92" spans="1:4" x14ac:dyDescent="0.25">
      <c r="A92" t="s">
        <v>151</v>
      </c>
      <c r="B92" t="s">
        <v>272</v>
      </c>
      <c r="C92" t="s">
        <v>264</v>
      </c>
      <c r="D92">
        <v>43.942</v>
      </c>
    </row>
    <row r="93" spans="1:4" x14ac:dyDescent="0.25">
      <c r="A93" t="s">
        <v>151</v>
      </c>
      <c r="B93" t="s">
        <v>272</v>
      </c>
      <c r="C93" t="s">
        <v>265</v>
      </c>
    </row>
    <row r="94" spans="1:4" x14ac:dyDescent="0.25">
      <c r="A94" t="s">
        <v>151</v>
      </c>
      <c r="B94" t="s">
        <v>272</v>
      </c>
      <c r="C94" t="s">
        <v>266</v>
      </c>
    </row>
    <row r="95" spans="1:4" x14ac:dyDescent="0.25">
      <c r="A95" t="s">
        <v>151</v>
      </c>
      <c r="B95" t="s">
        <v>272</v>
      </c>
      <c r="C95" t="s">
        <v>145</v>
      </c>
    </row>
    <row r="96" spans="1:4" x14ac:dyDescent="0.25">
      <c r="A96" t="s">
        <v>151</v>
      </c>
      <c r="B96" t="s">
        <v>272</v>
      </c>
      <c r="C96" t="s">
        <v>132</v>
      </c>
      <c r="D96">
        <v>0</v>
      </c>
    </row>
    <row r="97" spans="1:4" x14ac:dyDescent="0.25">
      <c r="A97" t="s">
        <v>152</v>
      </c>
      <c r="B97" t="s">
        <v>272</v>
      </c>
      <c r="C97" t="s">
        <v>264</v>
      </c>
      <c r="D97">
        <v>43.942</v>
      </c>
    </row>
    <row r="98" spans="1:4" x14ac:dyDescent="0.25">
      <c r="A98" t="s">
        <v>152</v>
      </c>
      <c r="B98" t="s">
        <v>272</v>
      </c>
      <c r="C98" t="s">
        <v>265</v>
      </c>
    </row>
    <row r="99" spans="1:4" x14ac:dyDescent="0.25">
      <c r="A99" t="s">
        <v>152</v>
      </c>
      <c r="B99" t="s">
        <v>272</v>
      </c>
      <c r="C99" t="s">
        <v>266</v>
      </c>
    </row>
    <row r="100" spans="1:4" x14ac:dyDescent="0.25">
      <c r="A100" t="s">
        <v>152</v>
      </c>
      <c r="B100" t="s">
        <v>272</v>
      </c>
      <c r="C100" t="s">
        <v>145</v>
      </c>
    </row>
    <row r="101" spans="1:4" x14ac:dyDescent="0.25">
      <c r="A101" t="s">
        <v>152</v>
      </c>
      <c r="B101" t="s">
        <v>272</v>
      </c>
      <c r="C101" t="s">
        <v>132</v>
      </c>
      <c r="D101">
        <v>0</v>
      </c>
    </row>
    <row r="102" spans="1:4" x14ac:dyDescent="0.25">
      <c r="A102" t="s">
        <v>153</v>
      </c>
      <c r="B102" t="s">
        <v>272</v>
      </c>
      <c r="C102" t="s">
        <v>264</v>
      </c>
      <c r="D102">
        <v>43.942</v>
      </c>
    </row>
    <row r="103" spans="1:4" x14ac:dyDescent="0.25">
      <c r="A103" t="s">
        <v>153</v>
      </c>
      <c r="B103" t="s">
        <v>272</v>
      </c>
      <c r="C103" t="s">
        <v>265</v>
      </c>
    </row>
    <row r="104" spans="1:4" x14ac:dyDescent="0.25">
      <c r="A104" t="s">
        <v>153</v>
      </c>
      <c r="B104" t="s">
        <v>272</v>
      </c>
      <c r="C104" t="s">
        <v>266</v>
      </c>
    </row>
    <row r="105" spans="1:4" x14ac:dyDescent="0.25">
      <c r="A105" t="s">
        <v>153</v>
      </c>
      <c r="B105" t="s">
        <v>272</v>
      </c>
      <c r="C105" t="s">
        <v>145</v>
      </c>
    </row>
    <row r="106" spans="1:4" x14ac:dyDescent="0.25">
      <c r="A106" t="s">
        <v>153</v>
      </c>
      <c r="B106" t="s">
        <v>272</v>
      </c>
      <c r="C106" t="s">
        <v>132</v>
      </c>
      <c r="D106">
        <v>0</v>
      </c>
    </row>
    <row r="107" spans="1:4" x14ac:dyDescent="0.25">
      <c r="A107" t="s">
        <v>151</v>
      </c>
      <c r="B107" t="s">
        <v>273</v>
      </c>
      <c r="C107" t="s">
        <v>264</v>
      </c>
      <c r="D107">
        <v>20.863</v>
      </c>
    </row>
    <row r="108" spans="1:4" x14ac:dyDescent="0.25">
      <c r="A108" t="s">
        <v>151</v>
      </c>
      <c r="B108" t="s">
        <v>273</v>
      </c>
      <c r="C108" t="s">
        <v>265</v>
      </c>
    </row>
    <row r="109" spans="1:4" x14ac:dyDescent="0.25">
      <c r="A109" t="s">
        <v>151</v>
      </c>
      <c r="B109" t="s">
        <v>273</v>
      </c>
      <c r="C109" t="s">
        <v>266</v>
      </c>
    </row>
    <row r="110" spans="1:4" x14ac:dyDescent="0.25">
      <c r="A110" t="s">
        <v>151</v>
      </c>
      <c r="B110" t="s">
        <v>273</v>
      </c>
      <c r="C110" t="s">
        <v>145</v>
      </c>
    </row>
    <row r="111" spans="1:4" x14ac:dyDescent="0.25">
      <c r="A111" t="s">
        <v>151</v>
      </c>
      <c r="B111" t="s">
        <v>273</v>
      </c>
      <c r="C111" t="s">
        <v>132</v>
      </c>
      <c r="D111">
        <v>52.825000000000003</v>
      </c>
    </row>
    <row r="112" spans="1:4" x14ac:dyDescent="0.25">
      <c r="A112" t="s">
        <v>152</v>
      </c>
      <c r="B112" t="s">
        <v>273</v>
      </c>
      <c r="C112" t="s">
        <v>264</v>
      </c>
      <c r="D112">
        <v>20.863</v>
      </c>
    </row>
    <row r="113" spans="1:4" x14ac:dyDescent="0.25">
      <c r="A113" t="s">
        <v>152</v>
      </c>
      <c r="B113" t="s">
        <v>273</v>
      </c>
      <c r="C113" t="s">
        <v>265</v>
      </c>
    </row>
    <row r="114" spans="1:4" x14ac:dyDescent="0.25">
      <c r="A114" t="s">
        <v>152</v>
      </c>
      <c r="B114" t="s">
        <v>273</v>
      </c>
      <c r="C114" t="s">
        <v>266</v>
      </c>
    </row>
    <row r="115" spans="1:4" x14ac:dyDescent="0.25">
      <c r="A115" t="s">
        <v>152</v>
      </c>
      <c r="B115" t="s">
        <v>273</v>
      </c>
      <c r="C115" t="s">
        <v>145</v>
      </c>
    </row>
    <row r="116" spans="1:4" x14ac:dyDescent="0.25">
      <c r="A116" t="s">
        <v>152</v>
      </c>
      <c r="B116" t="s">
        <v>273</v>
      </c>
      <c r="C116" t="s">
        <v>132</v>
      </c>
      <c r="D116">
        <v>52.825000000000003</v>
      </c>
    </row>
    <row r="117" spans="1:4" x14ac:dyDescent="0.25">
      <c r="A117" t="s">
        <v>153</v>
      </c>
      <c r="B117" t="s">
        <v>273</v>
      </c>
      <c r="C117" t="s">
        <v>264</v>
      </c>
      <c r="D117">
        <v>20.863</v>
      </c>
    </row>
    <row r="118" spans="1:4" x14ac:dyDescent="0.25">
      <c r="A118" t="s">
        <v>153</v>
      </c>
      <c r="B118" t="s">
        <v>273</v>
      </c>
      <c r="C118" t="s">
        <v>265</v>
      </c>
    </row>
    <row r="119" spans="1:4" x14ac:dyDescent="0.25">
      <c r="A119" t="s">
        <v>153</v>
      </c>
      <c r="B119" t="s">
        <v>273</v>
      </c>
      <c r="C119" t="s">
        <v>266</v>
      </c>
    </row>
    <row r="120" spans="1:4" x14ac:dyDescent="0.25">
      <c r="A120" t="s">
        <v>153</v>
      </c>
      <c r="B120" t="s">
        <v>273</v>
      </c>
      <c r="C120" t="s">
        <v>145</v>
      </c>
    </row>
    <row r="121" spans="1:4" x14ac:dyDescent="0.25">
      <c r="A121" t="s">
        <v>153</v>
      </c>
      <c r="B121" t="s">
        <v>273</v>
      </c>
      <c r="C121" t="s">
        <v>132</v>
      </c>
      <c r="D121">
        <v>52.825000000000003</v>
      </c>
    </row>
    <row r="122" spans="1:4" x14ac:dyDescent="0.25">
      <c r="A122" t="s">
        <v>151</v>
      </c>
      <c r="B122" t="s">
        <v>274</v>
      </c>
      <c r="C122" t="s">
        <v>264</v>
      </c>
      <c r="D122">
        <v>35.863</v>
      </c>
    </row>
    <row r="123" spans="1:4" x14ac:dyDescent="0.25">
      <c r="A123" t="s">
        <v>151</v>
      </c>
      <c r="B123" t="s">
        <v>274</v>
      </c>
      <c r="C123" t="s">
        <v>265</v>
      </c>
    </row>
    <row r="124" spans="1:4" x14ac:dyDescent="0.25">
      <c r="A124" t="s">
        <v>151</v>
      </c>
      <c r="B124" t="s">
        <v>274</v>
      </c>
      <c r="C124" t="s">
        <v>266</v>
      </c>
    </row>
    <row r="125" spans="1:4" x14ac:dyDescent="0.25">
      <c r="A125" t="s">
        <v>151</v>
      </c>
      <c r="B125" t="s">
        <v>274</v>
      </c>
      <c r="C125" t="s">
        <v>145</v>
      </c>
    </row>
    <row r="126" spans="1:4" x14ac:dyDescent="0.25">
      <c r="A126" t="s">
        <v>151</v>
      </c>
      <c r="B126" t="s">
        <v>274</v>
      </c>
      <c r="C126" t="s">
        <v>132</v>
      </c>
      <c r="D126">
        <v>52.825000000000003</v>
      </c>
    </row>
    <row r="127" spans="1:4" x14ac:dyDescent="0.25">
      <c r="A127" t="s">
        <v>152</v>
      </c>
      <c r="B127" t="s">
        <v>274</v>
      </c>
      <c r="C127" t="s">
        <v>264</v>
      </c>
      <c r="D127">
        <v>35.863</v>
      </c>
    </row>
    <row r="128" spans="1:4" x14ac:dyDescent="0.25">
      <c r="A128" t="s">
        <v>152</v>
      </c>
      <c r="B128" t="s">
        <v>274</v>
      </c>
      <c r="C128" t="s">
        <v>265</v>
      </c>
    </row>
    <row r="129" spans="1:4" x14ac:dyDescent="0.25">
      <c r="A129" t="s">
        <v>152</v>
      </c>
      <c r="B129" t="s">
        <v>274</v>
      </c>
      <c r="C129" t="s">
        <v>266</v>
      </c>
    </row>
    <row r="130" spans="1:4" x14ac:dyDescent="0.25">
      <c r="A130" t="s">
        <v>152</v>
      </c>
      <c r="B130" t="s">
        <v>274</v>
      </c>
      <c r="C130" t="s">
        <v>145</v>
      </c>
    </row>
    <row r="131" spans="1:4" x14ac:dyDescent="0.25">
      <c r="A131" t="s">
        <v>152</v>
      </c>
      <c r="B131" t="s">
        <v>274</v>
      </c>
      <c r="C131" t="s">
        <v>132</v>
      </c>
      <c r="D131">
        <v>52.825000000000003</v>
      </c>
    </row>
    <row r="132" spans="1:4" x14ac:dyDescent="0.25">
      <c r="A132" t="s">
        <v>153</v>
      </c>
      <c r="B132" t="s">
        <v>274</v>
      </c>
      <c r="C132" t="s">
        <v>264</v>
      </c>
      <c r="D132">
        <v>35.863</v>
      </c>
    </row>
    <row r="133" spans="1:4" x14ac:dyDescent="0.25">
      <c r="A133" t="s">
        <v>153</v>
      </c>
      <c r="B133" t="s">
        <v>274</v>
      </c>
      <c r="C133" t="s">
        <v>265</v>
      </c>
    </row>
    <row r="134" spans="1:4" x14ac:dyDescent="0.25">
      <c r="A134" t="s">
        <v>153</v>
      </c>
      <c r="B134" t="s">
        <v>274</v>
      </c>
      <c r="C134" t="s">
        <v>266</v>
      </c>
    </row>
    <row r="135" spans="1:4" x14ac:dyDescent="0.25">
      <c r="A135" t="s">
        <v>153</v>
      </c>
      <c r="B135" t="s">
        <v>274</v>
      </c>
      <c r="C135" t="s">
        <v>145</v>
      </c>
    </row>
    <row r="136" spans="1:4" x14ac:dyDescent="0.25">
      <c r="A136" t="s">
        <v>153</v>
      </c>
      <c r="B136" t="s">
        <v>274</v>
      </c>
      <c r="C136" t="s">
        <v>132</v>
      </c>
      <c r="D136">
        <v>52.825000000000003</v>
      </c>
    </row>
    <row r="137" spans="1:4" x14ac:dyDescent="0.25">
      <c r="A137" t="s">
        <v>151</v>
      </c>
      <c r="B137" t="s">
        <v>275</v>
      </c>
      <c r="C137" t="s">
        <v>264</v>
      </c>
      <c r="D137">
        <v>42.07</v>
      </c>
    </row>
    <row r="138" spans="1:4" x14ac:dyDescent="0.25">
      <c r="A138" t="s">
        <v>151</v>
      </c>
      <c r="B138" t="s">
        <v>275</v>
      </c>
      <c r="C138" t="s">
        <v>265</v>
      </c>
    </row>
    <row r="139" spans="1:4" x14ac:dyDescent="0.25">
      <c r="A139" t="s">
        <v>151</v>
      </c>
      <c r="B139" t="s">
        <v>275</v>
      </c>
      <c r="C139" t="s">
        <v>266</v>
      </c>
    </row>
    <row r="140" spans="1:4" x14ac:dyDescent="0.25">
      <c r="A140" t="s">
        <v>151</v>
      </c>
      <c r="B140" t="s">
        <v>275</v>
      </c>
      <c r="C140" t="s">
        <v>145</v>
      </c>
    </row>
    <row r="141" spans="1:4" x14ac:dyDescent="0.25">
      <c r="A141" t="s">
        <v>151</v>
      </c>
      <c r="B141" t="s">
        <v>275</v>
      </c>
      <c r="C141" t="s">
        <v>132</v>
      </c>
      <c r="D141">
        <v>0</v>
      </c>
    </row>
    <row r="142" spans="1:4" x14ac:dyDescent="0.25">
      <c r="A142" t="s">
        <v>152</v>
      </c>
      <c r="B142" t="s">
        <v>275</v>
      </c>
      <c r="C142" t="s">
        <v>264</v>
      </c>
      <c r="D142">
        <v>42.07</v>
      </c>
    </row>
    <row r="143" spans="1:4" x14ac:dyDescent="0.25">
      <c r="A143" t="s">
        <v>152</v>
      </c>
      <c r="B143" t="s">
        <v>275</v>
      </c>
      <c r="C143" t="s">
        <v>265</v>
      </c>
    </row>
    <row r="144" spans="1:4" x14ac:dyDescent="0.25">
      <c r="A144" t="s">
        <v>152</v>
      </c>
      <c r="B144" t="s">
        <v>275</v>
      </c>
      <c r="C144" t="s">
        <v>266</v>
      </c>
    </row>
    <row r="145" spans="1:4" x14ac:dyDescent="0.25">
      <c r="A145" t="s">
        <v>152</v>
      </c>
      <c r="B145" t="s">
        <v>275</v>
      </c>
      <c r="C145" t="s">
        <v>145</v>
      </c>
    </row>
    <row r="146" spans="1:4" x14ac:dyDescent="0.25">
      <c r="A146" t="s">
        <v>152</v>
      </c>
      <c r="B146" t="s">
        <v>275</v>
      </c>
      <c r="C146" t="s">
        <v>132</v>
      </c>
      <c r="D146">
        <v>0</v>
      </c>
    </row>
    <row r="147" spans="1:4" x14ac:dyDescent="0.25">
      <c r="A147" t="s">
        <v>153</v>
      </c>
      <c r="B147" t="s">
        <v>275</v>
      </c>
      <c r="C147" t="s">
        <v>264</v>
      </c>
      <c r="D147">
        <v>42.07</v>
      </c>
    </row>
    <row r="148" spans="1:4" x14ac:dyDescent="0.25">
      <c r="A148" t="s">
        <v>153</v>
      </c>
      <c r="B148" t="s">
        <v>275</v>
      </c>
      <c r="C148" t="s">
        <v>265</v>
      </c>
    </row>
    <row r="149" spans="1:4" x14ac:dyDescent="0.25">
      <c r="A149" t="s">
        <v>153</v>
      </c>
      <c r="B149" t="s">
        <v>275</v>
      </c>
      <c r="C149" t="s">
        <v>266</v>
      </c>
    </row>
    <row r="150" spans="1:4" x14ac:dyDescent="0.25">
      <c r="A150" t="s">
        <v>153</v>
      </c>
      <c r="B150" t="s">
        <v>275</v>
      </c>
      <c r="C150" t="s">
        <v>145</v>
      </c>
    </row>
    <row r="151" spans="1:4" x14ac:dyDescent="0.25">
      <c r="A151" t="s">
        <v>153</v>
      </c>
      <c r="B151" t="s">
        <v>275</v>
      </c>
      <c r="C151" t="s">
        <v>132</v>
      </c>
      <c r="D151">
        <v>0</v>
      </c>
    </row>
    <row r="152" spans="1:4" x14ac:dyDescent="0.25">
      <c r="A152" t="s">
        <v>151</v>
      </c>
      <c r="B152" t="s">
        <v>276</v>
      </c>
      <c r="C152" t="s">
        <v>264</v>
      </c>
      <c r="D152">
        <v>17.87</v>
      </c>
    </row>
    <row r="153" spans="1:4" x14ac:dyDescent="0.25">
      <c r="A153" t="s">
        <v>151</v>
      </c>
      <c r="B153" t="s">
        <v>276</v>
      </c>
      <c r="C153" t="s">
        <v>265</v>
      </c>
    </row>
    <row r="154" spans="1:4" x14ac:dyDescent="0.25">
      <c r="A154" t="s">
        <v>151</v>
      </c>
      <c r="B154" t="s">
        <v>276</v>
      </c>
      <c r="C154" t="s">
        <v>266</v>
      </c>
    </row>
    <row r="155" spans="1:4" x14ac:dyDescent="0.25">
      <c r="A155" t="s">
        <v>151</v>
      </c>
      <c r="B155" t="s">
        <v>276</v>
      </c>
      <c r="C155" t="s">
        <v>145</v>
      </c>
    </row>
    <row r="156" spans="1:4" x14ac:dyDescent="0.25">
      <c r="A156" t="s">
        <v>151</v>
      </c>
      <c r="B156" t="s">
        <v>276</v>
      </c>
      <c r="C156" t="s">
        <v>132</v>
      </c>
      <c r="D156">
        <v>0</v>
      </c>
    </row>
    <row r="157" spans="1:4" x14ac:dyDescent="0.25">
      <c r="A157" t="s">
        <v>152</v>
      </c>
      <c r="B157" t="s">
        <v>276</v>
      </c>
      <c r="C157" t="s">
        <v>264</v>
      </c>
      <c r="D157">
        <v>17.87</v>
      </c>
    </row>
    <row r="158" spans="1:4" x14ac:dyDescent="0.25">
      <c r="A158" t="s">
        <v>152</v>
      </c>
      <c r="B158" t="s">
        <v>276</v>
      </c>
      <c r="C158" t="s">
        <v>265</v>
      </c>
    </row>
    <row r="159" spans="1:4" x14ac:dyDescent="0.25">
      <c r="A159" t="s">
        <v>152</v>
      </c>
      <c r="B159" t="s">
        <v>276</v>
      </c>
      <c r="C159" t="s">
        <v>266</v>
      </c>
    </row>
    <row r="160" spans="1:4" x14ac:dyDescent="0.25">
      <c r="A160" t="s">
        <v>152</v>
      </c>
      <c r="B160" t="s">
        <v>276</v>
      </c>
      <c r="C160" t="s">
        <v>145</v>
      </c>
    </row>
    <row r="161" spans="1:4" x14ac:dyDescent="0.25">
      <c r="A161" t="s">
        <v>152</v>
      </c>
      <c r="B161" t="s">
        <v>276</v>
      </c>
      <c r="C161" t="s">
        <v>132</v>
      </c>
      <c r="D161">
        <v>0</v>
      </c>
    </row>
    <row r="162" spans="1:4" x14ac:dyDescent="0.25">
      <c r="A162" t="s">
        <v>153</v>
      </c>
      <c r="B162" t="s">
        <v>276</v>
      </c>
      <c r="C162" t="s">
        <v>264</v>
      </c>
      <c r="D162">
        <v>17.87</v>
      </c>
    </row>
    <row r="163" spans="1:4" x14ac:dyDescent="0.25">
      <c r="A163" t="s">
        <v>153</v>
      </c>
      <c r="B163" t="s">
        <v>276</v>
      </c>
      <c r="C163" t="s">
        <v>265</v>
      </c>
    </row>
    <row r="164" spans="1:4" x14ac:dyDescent="0.25">
      <c r="A164" t="s">
        <v>153</v>
      </c>
      <c r="B164" t="s">
        <v>276</v>
      </c>
      <c r="C164" t="s">
        <v>266</v>
      </c>
    </row>
    <row r="165" spans="1:4" x14ac:dyDescent="0.25">
      <c r="A165" t="s">
        <v>153</v>
      </c>
      <c r="B165" t="s">
        <v>276</v>
      </c>
      <c r="C165" t="s">
        <v>145</v>
      </c>
    </row>
    <row r="166" spans="1:4" x14ac:dyDescent="0.25">
      <c r="A166" t="s">
        <v>153</v>
      </c>
      <c r="B166" t="s">
        <v>276</v>
      </c>
      <c r="C166" t="s">
        <v>132</v>
      </c>
      <c r="D166">
        <v>0</v>
      </c>
    </row>
    <row r="167" spans="1:4" x14ac:dyDescent="0.25">
      <c r="A167" t="s">
        <v>151</v>
      </c>
      <c r="B167" t="s">
        <v>277</v>
      </c>
      <c r="C167" t="s">
        <v>264</v>
      </c>
      <c r="D167">
        <v>8.35</v>
      </c>
    </row>
    <row r="168" spans="1:4" x14ac:dyDescent="0.25">
      <c r="A168" t="s">
        <v>151</v>
      </c>
      <c r="B168" t="s">
        <v>277</v>
      </c>
      <c r="C168" t="s">
        <v>265</v>
      </c>
    </row>
    <row r="169" spans="1:4" x14ac:dyDescent="0.25">
      <c r="A169" t="s">
        <v>151</v>
      </c>
      <c r="B169" t="s">
        <v>277</v>
      </c>
      <c r="C169" t="s">
        <v>266</v>
      </c>
    </row>
    <row r="170" spans="1:4" x14ac:dyDescent="0.25">
      <c r="A170" t="s">
        <v>151</v>
      </c>
      <c r="B170" t="s">
        <v>277</v>
      </c>
      <c r="C170" t="s">
        <v>145</v>
      </c>
    </row>
    <row r="171" spans="1:4" x14ac:dyDescent="0.25">
      <c r="A171" t="s">
        <v>151</v>
      </c>
      <c r="B171" t="s">
        <v>277</v>
      </c>
      <c r="C171" t="s">
        <v>132</v>
      </c>
      <c r="D171">
        <v>0</v>
      </c>
    </row>
    <row r="172" spans="1:4" x14ac:dyDescent="0.25">
      <c r="A172" t="s">
        <v>152</v>
      </c>
      <c r="B172" t="s">
        <v>277</v>
      </c>
      <c r="C172" t="s">
        <v>264</v>
      </c>
      <c r="D172">
        <v>8.35</v>
      </c>
    </row>
    <row r="173" spans="1:4" x14ac:dyDescent="0.25">
      <c r="A173" t="s">
        <v>152</v>
      </c>
      <c r="B173" t="s">
        <v>277</v>
      </c>
      <c r="C173" t="s">
        <v>265</v>
      </c>
    </row>
    <row r="174" spans="1:4" x14ac:dyDescent="0.25">
      <c r="A174" t="s">
        <v>152</v>
      </c>
      <c r="B174" t="s">
        <v>277</v>
      </c>
      <c r="C174" t="s">
        <v>266</v>
      </c>
    </row>
    <row r="175" spans="1:4" x14ac:dyDescent="0.25">
      <c r="A175" t="s">
        <v>152</v>
      </c>
      <c r="B175" t="s">
        <v>277</v>
      </c>
      <c r="C175" t="s">
        <v>145</v>
      </c>
    </row>
    <row r="176" spans="1:4" x14ac:dyDescent="0.25">
      <c r="A176" t="s">
        <v>152</v>
      </c>
      <c r="B176" t="s">
        <v>277</v>
      </c>
      <c r="C176" t="s">
        <v>132</v>
      </c>
      <c r="D176">
        <v>0</v>
      </c>
    </row>
    <row r="177" spans="1:4" x14ac:dyDescent="0.25">
      <c r="A177" t="s">
        <v>153</v>
      </c>
      <c r="B177" t="s">
        <v>277</v>
      </c>
      <c r="C177" t="s">
        <v>264</v>
      </c>
      <c r="D177">
        <v>8.35</v>
      </c>
    </row>
    <row r="178" spans="1:4" x14ac:dyDescent="0.25">
      <c r="A178" t="s">
        <v>153</v>
      </c>
      <c r="B178" t="s">
        <v>277</v>
      </c>
      <c r="C178" t="s">
        <v>265</v>
      </c>
    </row>
    <row r="179" spans="1:4" x14ac:dyDescent="0.25">
      <c r="A179" t="s">
        <v>153</v>
      </c>
      <c r="B179" t="s">
        <v>277</v>
      </c>
      <c r="C179" t="s">
        <v>266</v>
      </c>
    </row>
    <row r="180" spans="1:4" x14ac:dyDescent="0.25">
      <c r="A180" t="s">
        <v>153</v>
      </c>
      <c r="B180" t="s">
        <v>277</v>
      </c>
      <c r="C180" t="s">
        <v>145</v>
      </c>
    </row>
    <row r="181" spans="1:4" x14ac:dyDescent="0.25">
      <c r="A181" t="s">
        <v>153</v>
      </c>
      <c r="B181" t="s">
        <v>277</v>
      </c>
      <c r="C181" t="s">
        <v>132</v>
      </c>
      <c r="D181">
        <v>0</v>
      </c>
    </row>
    <row r="182" spans="1:4" x14ac:dyDescent="0.25">
      <c r="A182" t="s">
        <v>151</v>
      </c>
      <c r="B182" t="s">
        <v>100</v>
      </c>
      <c r="C182" t="s">
        <v>264</v>
      </c>
      <c r="D182">
        <v>52.04</v>
      </c>
    </row>
    <row r="183" spans="1:4" x14ac:dyDescent="0.25">
      <c r="A183" t="s">
        <v>151</v>
      </c>
      <c r="B183" t="s">
        <v>100</v>
      </c>
      <c r="C183" t="s">
        <v>265</v>
      </c>
    </row>
    <row r="184" spans="1:4" x14ac:dyDescent="0.25">
      <c r="A184" t="s">
        <v>151</v>
      </c>
      <c r="B184" t="s">
        <v>100</v>
      </c>
      <c r="C184" t="s">
        <v>266</v>
      </c>
    </row>
    <row r="185" spans="1:4" x14ac:dyDescent="0.25">
      <c r="A185" t="s">
        <v>151</v>
      </c>
      <c r="B185" t="s">
        <v>100</v>
      </c>
      <c r="C185" t="s">
        <v>145</v>
      </c>
    </row>
    <row r="186" spans="1:4" x14ac:dyDescent="0.25">
      <c r="A186" t="s">
        <v>151</v>
      </c>
      <c r="B186" t="s">
        <v>100</v>
      </c>
      <c r="C186" t="s">
        <v>132</v>
      </c>
      <c r="D186">
        <v>0</v>
      </c>
    </row>
    <row r="187" spans="1:4" x14ac:dyDescent="0.25">
      <c r="A187" t="s">
        <v>152</v>
      </c>
      <c r="B187" t="s">
        <v>100</v>
      </c>
      <c r="C187" t="s">
        <v>264</v>
      </c>
      <c r="D187">
        <v>52.04</v>
      </c>
    </row>
    <row r="188" spans="1:4" x14ac:dyDescent="0.25">
      <c r="A188" t="s">
        <v>152</v>
      </c>
      <c r="B188" t="s">
        <v>100</v>
      </c>
      <c r="C188" t="s">
        <v>265</v>
      </c>
    </row>
    <row r="189" spans="1:4" x14ac:dyDescent="0.25">
      <c r="A189" t="s">
        <v>152</v>
      </c>
      <c r="B189" t="s">
        <v>100</v>
      </c>
      <c r="C189" t="s">
        <v>266</v>
      </c>
    </row>
    <row r="190" spans="1:4" x14ac:dyDescent="0.25">
      <c r="A190" t="s">
        <v>152</v>
      </c>
      <c r="B190" t="s">
        <v>100</v>
      </c>
      <c r="C190" t="s">
        <v>145</v>
      </c>
    </row>
    <row r="191" spans="1:4" x14ac:dyDescent="0.25">
      <c r="A191" t="s">
        <v>152</v>
      </c>
      <c r="B191" t="s">
        <v>100</v>
      </c>
      <c r="C191" t="s">
        <v>132</v>
      </c>
      <c r="D191">
        <v>0</v>
      </c>
    </row>
    <row r="192" spans="1:4" x14ac:dyDescent="0.25">
      <c r="A192" t="s">
        <v>153</v>
      </c>
      <c r="B192" t="s">
        <v>100</v>
      </c>
      <c r="C192" t="s">
        <v>264</v>
      </c>
      <c r="D192">
        <v>52.04</v>
      </c>
    </row>
    <row r="193" spans="1:4" x14ac:dyDescent="0.25">
      <c r="A193" t="s">
        <v>153</v>
      </c>
      <c r="B193" t="s">
        <v>100</v>
      </c>
      <c r="C193" t="s">
        <v>265</v>
      </c>
    </row>
    <row r="194" spans="1:4" x14ac:dyDescent="0.25">
      <c r="A194" t="s">
        <v>153</v>
      </c>
      <c r="B194" t="s">
        <v>100</v>
      </c>
      <c r="C194" t="s">
        <v>266</v>
      </c>
    </row>
    <row r="195" spans="1:4" x14ac:dyDescent="0.25">
      <c r="A195" t="s">
        <v>153</v>
      </c>
      <c r="B195" t="s">
        <v>100</v>
      </c>
      <c r="C195" t="s">
        <v>145</v>
      </c>
    </row>
    <row r="196" spans="1:4" x14ac:dyDescent="0.25">
      <c r="A196" t="s">
        <v>153</v>
      </c>
      <c r="B196" t="s">
        <v>100</v>
      </c>
      <c r="C196" t="s">
        <v>132</v>
      </c>
      <c r="D196">
        <v>0</v>
      </c>
    </row>
    <row r="197" spans="1:4" x14ac:dyDescent="0.25">
      <c r="A197" t="s">
        <v>151</v>
      </c>
      <c r="B197" t="s">
        <v>91</v>
      </c>
      <c r="C197" t="s">
        <v>264</v>
      </c>
      <c r="D197">
        <v>12.57</v>
      </c>
    </row>
    <row r="198" spans="1:4" x14ac:dyDescent="0.25">
      <c r="A198" t="s">
        <v>151</v>
      </c>
      <c r="B198" t="s">
        <v>91</v>
      </c>
      <c r="C198" t="s">
        <v>265</v>
      </c>
    </row>
    <row r="199" spans="1:4" x14ac:dyDescent="0.25">
      <c r="A199" t="s">
        <v>151</v>
      </c>
      <c r="B199" t="s">
        <v>91</v>
      </c>
      <c r="C199" t="s">
        <v>266</v>
      </c>
    </row>
    <row r="200" spans="1:4" x14ac:dyDescent="0.25">
      <c r="A200" t="s">
        <v>151</v>
      </c>
      <c r="B200" t="s">
        <v>91</v>
      </c>
      <c r="C200" t="s">
        <v>145</v>
      </c>
    </row>
    <row r="201" spans="1:4" x14ac:dyDescent="0.25">
      <c r="A201" t="s">
        <v>151</v>
      </c>
      <c r="B201" t="s">
        <v>91</v>
      </c>
      <c r="C201" t="s">
        <v>132</v>
      </c>
      <c r="D201">
        <v>0</v>
      </c>
    </row>
    <row r="202" spans="1:4" x14ac:dyDescent="0.25">
      <c r="A202" t="s">
        <v>152</v>
      </c>
      <c r="B202" t="s">
        <v>91</v>
      </c>
      <c r="C202" t="s">
        <v>264</v>
      </c>
      <c r="D202">
        <v>12.57</v>
      </c>
    </row>
    <row r="203" spans="1:4" x14ac:dyDescent="0.25">
      <c r="A203" t="s">
        <v>152</v>
      </c>
      <c r="B203" t="s">
        <v>91</v>
      </c>
      <c r="C203" t="s">
        <v>265</v>
      </c>
    </row>
    <row r="204" spans="1:4" x14ac:dyDescent="0.25">
      <c r="A204" t="s">
        <v>152</v>
      </c>
      <c r="B204" t="s">
        <v>91</v>
      </c>
      <c r="C204" t="s">
        <v>266</v>
      </c>
    </row>
    <row r="205" spans="1:4" x14ac:dyDescent="0.25">
      <c r="A205" t="s">
        <v>152</v>
      </c>
      <c r="B205" t="s">
        <v>91</v>
      </c>
      <c r="C205" t="s">
        <v>145</v>
      </c>
    </row>
    <row r="206" spans="1:4" x14ac:dyDescent="0.25">
      <c r="A206" t="s">
        <v>152</v>
      </c>
      <c r="B206" t="s">
        <v>91</v>
      </c>
      <c r="C206" t="s">
        <v>132</v>
      </c>
      <c r="D206">
        <v>0</v>
      </c>
    </row>
    <row r="207" spans="1:4" x14ac:dyDescent="0.25">
      <c r="A207" t="s">
        <v>153</v>
      </c>
      <c r="B207" t="s">
        <v>91</v>
      </c>
      <c r="C207" t="s">
        <v>264</v>
      </c>
      <c r="D207">
        <v>12.57</v>
      </c>
    </row>
    <row r="208" spans="1:4" x14ac:dyDescent="0.25">
      <c r="A208" t="s">
        <v>153</v>
      </c>
      <c r="B208" t="s">
        <v>91</v>
      </c>
      <c r="C208" t="s">
        <v>265</v>
      </c>
    </row>
    <row r="209" spans="1:4" x14ac:dyDescent="0.25">
      <c r="A209" t="s">
        <v>153</v>
      </c>
      <c r="B209" t="s">
        <v>91</v>
      </c>
      <c r="C209" t="s">
        <v>266</v>
      </c>
    </row>
    <row r="210" spans="1:4" x14ac:dyDescent="0.25">
      <c r="A210" t="s">
        <v>153</v>
      </c>
      <c r="B210" t="s">
        <v>91</v>
      </c>
      <c r="C210" t="s">
        <v>145</v>
      </c>
    </row>
    <row r="211" spans="1:4" x14ac:dyDescent="0.25">
      <c r="A211" t="s">
        <v>153</v>
      </c>
      <c r="B211" t="s">
        <v>91</v>
      </c>
      <c r="C211" t="s">
        <v>132</v>
      </c>
      <c r="D2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6126D-3EA0-4AA6-924B-8CDB79470677}">
  <dimension ref="A1:C178"/>
  <sheetViews>
    <sheetView workbookViewId="0">
      <selection activeCell="A190" sqref="A190"/>
    </sheetView>
  </sheetViews>
  <sheetFormatPr defaultRowHeight="15" x14ac:dyDescent="0.25"/>
  <cols>
    <col min="1" max="1" width="14.5703125" bestFit="1" customWidth="1"/>
    <col min="2" max="2" width="12.85546875" bestFit="1" customWidth="1"/>
  </cols>
  <sheetData>
    <row r="1" spans="1:3" x14ac:dyDescent="0.25">
      <c r="A1" t="s">
        <v>1</v>
      </c>
      <c r="B1" t="s">
        <v>0</v>
      </c>
      <c r="C1" t="s">
        <v>345</v>
      </c>
    </row>
    <row r="2" spans="1:3" x14ac:dyDescent="0.25">
      <c r="A2" t="s">
        <v>441</v>
      </c>
      <c r="B2" t="s">
        <v>4</v>
      </c>
      <c r="C2">
        <v>-1</v>
      </c>
    </row>
    <row r="3" spans="1:3" x14ac:dyDescent="0.25">
      <c r="A3" t="s">
        <v>434</v>
      </c>
      <c r="B3" t="s">
        <v>4</v>
      </c>
      <c r="C3">
        <v>-7.0000000000000007E-2</v>
      </c>
    </row>
    <row r="4" spans="1:3" x14ac:dyDescent="0.25">
      <c r="A4" t="s">
        <v>437</v>
      </c>
      <c r="B4" t="s">
        <v>4</v>
      </c>
      <c r="C4">
        <v>-0.1</v>
      </c>
    </row>
    <row r="5" spans="1:3" x14ac:dyDescent="0.25">
      <c r="A5" t="s">
        <v>438</v>
      </c>
      <c r="B5" t="s">
        <v>4</v>
      </c>
      <c r="C5">
        <v>-0.15</v>
      </c>
    </row>
    <row r="6" spans="1:3" x14ac:dyDescent="0.25">
      <c r="A6" t="s">
        <v>439</v>
      </c>
      <c r="B6" t="s">
        <v>4</v>
      </c>
      <c r="C6">
        <v>-0.2</v>
      </c>
    </row>
    <row r="7" spans="1:3" x14ac:dyDescent="0.25">
      <c r="A7" t="s">
        <v>431</v>
      </c>
      <c r="B7" t="s">
        <v>4</v>
      </c>
      <c r="C7">
        <v>-0.25</v>
      </c>
    </row>
    <row r="8" spans="1:3" x14ac:dyDescent="0.25">
      <c r="A8" t="s">
        <v>433</v>
      </c>
      <c r="B8" t="s">
        <v>4</v>
      </c>
      <c r="C8">
        <v>-1</v>
      </c>
    </row>
    <row r="9" spans="1:3" x14ac:dyDescent="0.25">
      <c r="A9" t="s">
        <v>440</v>
      </c>
      <c r="B9" t="s">
        <v>4</v>
      </c>
      <c r="C9">
        <v>-1</v>
      </c>
    </row>
    <row r="10" spans="1:3" x14ac:dyDescent="0.25">
      <c r="A10" t="s">
        <v>440</v>
      </c>
      <c r="B10" t="s">
        <v>442</v>
      </c>
      <c r="C10">
        <v>1</v>
      </c>
    </row>
    <row r="11" spans="1:3" x14ac:dyDescent="0.25">
      <c r="A11" t="s">
        <v>463</v>
      </c>
      <c r="B11" t="s">
        <v>448</v>
      </c>
      <c r="C11">
        <v>-1</v>
      </c>
    </row>
    <row r="12" spans="1:3" x14ac:dyDescent="0.25">
      <c r="A12" t="s">
        <v>457</v>
      </c>
      <c r="B12" t="s">
        <v>448</v>
      </c>
      <c r="C12">
        <v>-7.0000000000000007E-2</v>
      </c>
    </row>
    <row r="13" spans="1:3" x14ac:dyDescent="0.25">
      <c r="A13" t="s">
        <v>459</v>
      </c>
      <c r="B13" t="s">
        <v>448</v>
      </c>
      <c r="C13">
        <v>-0.1</v>
      </c>
    </row>
    <row r="14" spans="1:3" x14ac:dyDescent="0.25">
      <c r="A14" t="s">
        <v>460</v>
      </c>
      <c r="B14" t="s">
        <v>448</v>
      </c>
      <c r="C14">
        <v>-0.15</v>
      </c>
    </row>
    <row r="15" spans="1:3" x14ac:dyDescent="0.25">
      <c r="A15" t="s">
        <v>461</v>
      </c>
      <c r="B15" t="s">
        <v>448</v>
      </c>
      <c r="C15">
        <v>-0.2</v>
      </c>
    </row>
    <row r="16" spans="1:3" x14ac:dyDescent="0.25">
      <c r="A16" t="s">
        <v>445</v>
      </c>
      <c r="B16" t="s">
        <v>448</v>
      </c>
      <c r="C16">
        <v>-0.25</v>
      </c>
    </row>
    <row r="17" spans="1:3" x14ac:dyDescent="0.25">
      <c r="A17" t="s">
        <v>456</v>
      </c>
      <c r="B17" t="s">
        <v>448</v>
      </c>
      <c r="C17">
        <v>-1</v>
      </c>
    </row>
    <row r="18" spans="1:3" x14ac:dyDescent="0.25">
      <c r="A18" t="s">
        <v>462</v>
      </c>
      <c r="B18" t="s">
        <v>448</v>
      </c>
      <c r="C18">
        <v>-1</v>
      </c>
    </row>
    <row r="19" spans="1:3" x14ac:dyDescent="0.25">
      <c r="A19" t="s">
        <v>462</v>
      </c>
      <c r="B19" t="s">
        <v>469</v>
      </c>
      <c r="C19">
        <v>1</v>
      </c>
    </row>
    <row r="20" spans="1:3" x14ac:dyDescent="0.25">
      <c r="A20" t="s">
        <v>457</v>
      </c>
      <c r="B20" t="s">
        <v>464</v>
      </c>
      <c r="C20">
        <v>-2.3E-2</v>
      </c>
    </row>
    <row r="21" spans="1:3" x14ac:dyDescent="0.25">
      <c r="A21" t="s">
        <v>459</v>
      </c>
      <c r="B21" t="s">
        <v>464</v>
      </c>
      <c r="C21">
        <v>-0.1</v>
      </c>
    </row>
    <row r="22" spans="1:3" x14ac:dyDescent="0.25">
      <c r="A22" t="s">
        <v>445</v>
      </c>
      <c r="B22" t="s">
        <v>464</v>
      </c>
      <c r="C22">
        <v>-0.25</v>
      </c>
    </row>
    <row r="23" spans="1:3" x14ac:dyDescent="0.25">
      <c r="A23" t="s">
        <v>458</v>
      </c>
      <c r="B23" t="s">
        <v>464</v>
      </c>
      <c r="C23">
        <v>-0.16500000000000001</v>
      </c>
    </row>
    <row r="24" spans="1:3" x14ac:dyDescent="0.25">
      <c r="A24" t="s">
        <v>455</v>
      </c>
      <c r="B24" t="s">
        <v>464</v>
      </c>
      <c r="C24">
        <v>-0.16500000000000001</v>
      </c>
    </row>
    <row r="25" spans="1:3" x14ac:dyDescent="0.25">
      <c r="A25" t="s">
        <v>462</v>
      </c>
      <c r="B25" t="s">
        <v>464</v>
      </c>
      <c r="C25">
        <v>0.33300000000000002</v>
      </c>
    </row>
    <row r="26" spans="1:3" x14ac:dyDescent="0.25">
      <c r="A26" t="s">
        <v>457</v>
      </c>
      <c r="B26" t="s">
        <v>465</v>
      </c>
      <c r="C26">
        <v>-2.3E-2</v>
      </c>
    </row>
    <row r="27" spans="1:3" x14ac:dyDescent="0.25">
      <c r="A27" t="s">
        <v>459</v>
      </c>
      <c r="B27" t="s">
        <v>465</v>
      </c>
      <c r="C27">
        <v>-0.1</v>
      </c>
    </row>
    <row r="28" spans="1:3" x14ac:dyDescent="0.25">
      <c r="A28" t="s">
        <v>445</v>
      </c>
      <c r="B28" t="s">
        <v>465</v>
      </c>
      <c r="C28">
        <v>-0.25</v>
      </c>
    </row>
    <row r="29" spans="1:3" x14ac:dyDescent="0.25">
      <c r="A29" t="s">
        <v>458</v>
      </c>
      <c r="B29" t="s">
        <v>465</v>
      </c>
      <c r="C29">
        <v>-0.16500000000000001</v>
      </c>
    </row>
    <row r="30" spans="1:3" x14ac:dyDescent="0.25">
      <c r="A30" t="s">
        <v>455</v>
      </c>
      <c r="B30" t="s">
        <v>465</v>
      </c>
      <c r="C30">
        <v>-0.16500000000000001</v>
      </c>
    </row>
    <row r="31" spans="1:3" x14ac:dyDescent="0.25">
      <c r="A31" t="s">
        <v>462</v>
      </c>
      <c r="B31" t="s">
        <v>465</v>
      </c>
      <c r="C31">
        <v>0.33300000000000002</v>
      </c>
    </row>
    <row r="32" spans="1:3" x14ac:dyDescent="0.25">
      <c r="A32" t="s">
        <v>459</v>
      </c>
      <c r="B32" t="s">
        <v>470</v>
      </c>
      <c r="C32">
        <v>-0.1</v>
      </c>
    </row>
    <row r="33" spans="1:3" x14ac:dyDescent="0.25">
      <c r="A33" t="s">
        <v>462</v>
      </c>
      <c r="B33" t="s">
        <v>470</v>
      </c>
      <c r="C33">
        <v>0.125</v>
      </c>
    </row>
    <row r="34" spans="1:3" x14ac:dyDescent="0.25">
      <c r="A34" t="s">
        <v>457</v>
      </c>
      <c r="B34" t="s">
        <v>468</v>
      </c>
      <c r="C34">
        <v>-7.0000000000000007E-2</v>
      </c>
    </row>
    <row r="35" spans="1:3" x14ac:dyDescent="0.25">
      <c r="A35" t="s">
        <v>459</v>
      </c>
      <c r="B35" t="s">
        <v>468</v>
      </c>
      <c r="C35">
        <v>-0.1</v>
      </c>
    </row>
    <row r="36" spans="1:3" x14ac:dyDescent="0.25">
      <c r="A36" t="s">
        <v>460</v>
      </c>
      <c r="B36" t="s">
        <v>468</v>
      </c>
      <c r="C36">
        <v>-0.15</v>
      </c>
    </row>
    <row r="37" spans="1:3" x14ac:dyDescent="0.25">
      <c r="A37" t="s">
        <v>461</v>
      </c>
      <c r="B37" t="s">
        <v>468</v>
      </c>
      <c r="C37">
        <v>-0.2</v>
      </c>
    </row>
    <row r="38" spans="1:3" x14ac:dyDescent="0.25">
      <c r="A38" t="s">
        <v>445</v>
      </c>
      <c r="B38" t="s">
        <v>468</v>
      </c>
      <c r="C38">
        <v>-0.25</v>
      </c>
    </row>
    <row r="39" spans="1:3" x14ac:dyDescent="0.25">
      <c r="A39" t="s">
        <v>458</v>
      </c>
      <c r="B39" t="s">
        <v>468</v>
      </c>
      <c r="C39">
        <v>-1</v>
      </c>
    </row>
    <row r="40" spans="1:3" x14ac:dyDescent="0.25">
      <c r="A40" t="s">
        <v>455</v>
      </c>
      <c r="B40" t="s">
        <v>468</v>
      </c>
      <c r="C40">
        <v>-1</v>
      </c>
    </row>
    <row r="41" spans="1:3" x14ac:dyDescent="0.25">
      <c r="A41" t="s">
        <v>459</v>
      </c>
      <c r="B41" t="s">
        <v>472</v>
      </c>
      <c r="C41">
        <v>-0.1</v>
      </c>
    </row>
    <row r="42" spans="1:3" x14ac:dyDescent="0.25">
      <c r="A42" t="s">
        <v>462</v>
      </c>
      <c r="B42" t="s">
        <v>472</v>
      </c>
      <c r="C42">
        <v>-1</v>
      </c>
    </row>
    <row r="43" spans="1:3" x14ac:dyDescent="0.25">
      <c r="A43" t="s">
        <v>457</v>
      </c>
      <c r="B43" t="s">
        <v>454</v>
      </c>
      <c r="C43">
        <v>-7.0000000000000007E-2</v>
      </c>
    </row>
    <row r="44" spans="1:3" x14ac:dyDescent="0.25">
      <c r="A44" t="s">
        <v>460</v>
      </c>
      <c r="B44" t="s">
        <v>454</v>
      </c>
      <c r="C44">
        <v>-0.15</v>
      </c>
    </row>
    <row r="45" spans="1:3" x14ac:dyDescent="0.25">
      <c r="A45" t="s">
        <v>461</v>
      </c>
      <c r="B45" t="s">
        <v>454</v>
      </c>
      <c r="C45">
        <v>-0.2</v>
      </c>
    </row>
    <row r="46" spans="1:3" x14ac:dyDescent="0.25">
      <c r="A46" t="s">
        <v>445</v>
      </c>
      <c r="B46" t="s">
        <v>454</v>
      </c>
      <c r="C46">
        <v>-0.25</v>
      </c>
    </row>
    <row r="47" spans="1:3" x14ac:dyDescent="0.25">
      <c r="A47" t="s">
        <v>463</v>
      </c>
      <c r="B47" t="s">
        <v>449</v>
      </c>
      <c r="C47">
        <v>-1</v>
      </c>
    </row>
    <row r="48" spans="1:3" x14ac:dyDescent="0.25">
      <c r="A48" t="s">
        <v>457</v>
      </c>
      <c r="B48" t="s">
        <v>449</v>
      </c>
      <c r="C48">
        <v>-7.0000000000000007E-2</v>
      </c>
    </row>
    <row r="49" spans="1:3" x14ac:dyDescent="0.25">
      <c r="A49" t="s">
        <v>459</v>
      </c>
      <c r="B49" t="s">
        <v>449</v>
      </c>
      <c r="C49">
        <v>-0.1</v>
      </c>
    </row>
    <row r="50" spans="1:3" x14ac:dyDescent="0.25">
      <c r="A50" t="s">
        <v>460</v>
      </c>
      <c r="B50" t="s">
        <v>449</v>
      </c>
      <c r="C50">
        <v>-0.15</v>
      </c>
    </row>
    <row r="51" spans="1:3" x14ac:dyDescent="0.25">
      <c r="A51" t="s">
        <v>461</v>
      </c>
      <c r="B51" t="s">
        <v>449</v>
      </c>
      <c r="C51">
        <v>-0.2</v>
      </c>
    </row>
    <row r="52" spans="1:3" x14ac:dyDescent="0.25">
      <c r="A52" t="s">
        <v>445</v>
      </c>
      <c r="B52" t="s">
        <v>449</v>
      </c>
      <c r="C52">
        <v>-0.25</v>
      </c>
    </row>
    <row r="53" spans="1:3" x14ac:dyDescent="0.25">
      <c r="A53" t="s">
        <v>456</v>
      </c>
      <c r="B53" t="s">
        <v>449</v>
      </c>
      <c r="C53">
        <v>-1</v>
      </c>
    </row>
    <row r="54" spans="1:3" x14ac:dyDescent="0.25">
      <c r="A54" t="s">
        <v>462</v>
      </c>
      <c r="B54" t="s">
        <v>449</v>
      </c>
      <c r="C54">
        <v>-1</v>
      </c>
    </row>
    <row r="55" spans="1:3" x14ac:dyDescent="0.25">
      <c r="A55" t="s">
        <v>457</v>
      </c>
      <c r="B55" t="s">
        <v>467</v>
      </c>
      <c r="C55">
        <v>-7.0000000000000007E-2</v>
      </c>
    </row>
    <row r="56" spans="1:3" x14ac:dyDescent="0.25">
      <c r="A56" t="s">
        <v>459</v>
      </c>
      <c r="B56" t="s">
        <v>467</v>
      </c>
      <c r="C56">
        <v>-0.1</v>
      </c>
    </row>
    <row r="57" spans="1:3" x14ac:dyDescent="0.25">
      <c r="A57" t="s">
        <v>460</v>
      </c>
      <c r="B57" t="s">
        <v>467</v>
      </c>
      <c r="C57">
        <v>-0.15</v>
      </c>
    </row>
    <row r="58" spans="1:3" x14ac:dyDescent="0.25">
      <c r="A58" t="s">
        <v>461</v>
      </c>
      <c r="B58" t="s">
        <v>467</v>
      </c>
      <c r="C58">
        <v>-0.2</v>
      </c>
    </row>
    <row r="59" spans="1:3" x14ac:dyDescent="0.25">
      <c r="A59" t="s">
        <v>445</v>
      </c>
      <c r="B59" t="s">
        <v>467</v>
      </c>
      <c r="C59">
        <v>-0.25</v>
      </c>
    </row>
    <row r="60" spans="1:3" x14ac:dyDescent="0.25">
      <c r="A60" t="s">
        <v>458</v>
      </c>
      <c r="B60" t="s">
        <v>467</v>
      </c>
      <c r="C60">
        <v>-0.2</v>
      </c>
    </row>
    <row r="61" spans="1:3" x14ac:dyDescent="0.25">
      <c r="A61" t="s">
        <v>455</v>
      </c>
      <c r="B61" t="s">
        <v>467</v>
      </c>
      <c r="C61">
        <v>-0.8</v>
      </c>
    </row>
    <row r="62" spans="1:3" x14ac:dyDescent="0.25">
      <c r="A62" t="s">
        <v>457</v>
      </c>
      <c r="B62" t="s">
        <v>466</v>
      </c>
      <c r="C62">
        <v>0</v>
      </c>
    </row>
    <row r="63" spans="1:3" x14ac:dyDescent="0.25">
      <c r="A63" t="s">
        <v>459</v>
      </c>
      <c r="B63" t="s">
        <v>466</v>
      </c>
      <c r="C63">
        <v>0</v>
      </c>
    </row>
    <row r="64" spans="1:3" x14ac:dyDescent="0.25">
      <c r="A64" t="s">
        <v>445</v>
      </c>
      <c r="B64" t="s">
        <v>466</v>
      </c>
      <c r="C64">
        <v>0</v>
      </c>
    </row>
    <row r="65" spans="1:3" x14ac:dyDescent="0.25">
      <c r="A65" t="s">
        <v>458</v>
      </c>
      <c r="B65" t="s">
        <v>466</v>
      </c>
      <c r="C65">
        <v>0</v>
      </c>
    </row>
    <row r="66" spans="1:3" x14ac:dyDescent="0.25">
      <c r="A66" t="s">
        <v>462</v>
      </c>
      <c r="B66" t="s">
        <v>466</v>
      </c>
      <c r="C66">
        <v>0.33300000000000002</v>
      </c>
    </row>
    <row r="67" spans="1:3" x14ac:dyDescent="0.25">
      <c r="A67" t="s">
        <v>459</v>
      </c>
      <c r="B67" t="s">
        <v>471</v>
      </c>
      <c r="C67">
        <v>0</v>
      </c>
    </row>
    <row r="68" spans="1:3" x14ac:dyDescent="0.25">
      <c r="A68" t="s">
        <v>462</v>
      </c>
      <c r="B68" t="s">
        <v>471</v>
      </c>
      <c r="C68">
        <v>0.125</v>
      </c>
    </row>
    <row r="69" spans="1:3" x14ac:dyDescent="0.25">
      <c r="A69" t="s">
        <v>457</v>
      </c>
      <c r="B69" t="s">
        <v>452</v>
      </c>
      <c r="C69">
        <v>-7.0000000000000007E-2</v>
      </c>
    </row>
    <row r="70" spans="1:3" x14ac:dyDescent="0.25">
      <c r="A70" t="s">
        <v>460</v>
      </c>
      <c r="B70" t="s">
        <v>452</v>
      </c>
      <c r="C70">
        <v>0.85</v>
      </c>
    </row>
    <row r="71" spans="1:3" x14ac:dyDescent="0.25">
      <c r="A71" t="s">
        <v>461</v>
      </c>
      <c r="B71" t="s">
        <v>452</v>
      </c>
      <c r="C71">
        <v>-0.2</v>
      </c>
    </row>
    <row r="72" spans="1:3" x14ac:dyDescent="0.25">
      <c r="A72" t="s">
        <v>445</v>
      </c>
      <c r="B72" t="s">
        <v>452</v>
      </c>
      <c r="C72">
        <v>-0.25</v>
      </c>
    </row>
    <row r="73" spans="1:3" x14ac:dyDescent="0.25">
      <c r="A73" t="s">
        <v>463</v>
      </c>
      <c r="B73" t="s">
        <v>451</v>
      </c>
      <c r="C73">
        <v>-1</v>
      </c>
    </row>
    <row r="74" spans="1:3" x14ac:dyDescent="0.25">
      <c r="A74" t="s">
        <v>457</v>
      </c>
      <c r="B74" t="s">
        <v>451</v>
      </c>
      <c r="C74">
        <v>0.93</v>
      </c>
    </row>
    <row r="75" spans="1:3" x14ac:dyDescent="0.25">
      <c r="A75" t="s">
        <v>460</v>
      </c>
      <c r="B75" t="s">
        <v>451</v>
      </c>
      <c r="C75">
        <v>-0.15</v>
      </c>
    </row>
    <row r="76" spans="1:3" x14ac:dyDescent="0.25">
      <c r="A76" t="s">
        <v>461</v>
      </c>
      <c r="B76" t="s">
        <v>451</v>
      </c>
      <c r="C76">
        <v>-0.2</v>
      </c>
    </row>
    <row r="77" spans="1:3" x14ac:dyDescent="0.25">
      <c r="A77" t="s">
        <v>445</v>
      </c>
      <c r="B77" t="s">
        <v>451</v>
      </c>
      <c r="C77">
        <v>-0.25</v>
      </c>
    </row>
    <row r="78" spans="1:3" x14ac:dyDescent="0.25">
      <c r="A78" t="s">
        <v>457</v>
      </c>
      <c r="B78" t="s">
        <v>453</v>
      </c>
      <c r="C78">
        <v>-7.0000000000000007E-2</v>
      </c>
    </row>
    <row r="79" spans="1:3" x14ac:dyDescent="0.25">
      <c r="A79" t="s">
        <v>460</v>
      </c>
      <c r="B79" t="s">
        <v>453</v>
      </c>
      <c r="C79">
        <v>-0.15</v>
      </c>
    </row>
    <row r="80" spans="1:3" x14ac:dyDescent="0.25">
      <c r="A80" t="s">
        <v>461</v>
      </c>
      <c r="B80" t="s">
        <v>453</v>
      </c>
      <c r="C80">
        <v>0.8</v>
      </c>
    </row>
    <row r="81" spans="1:3" x14ac:dyDescent="0.25">
      <c r="A81" t="s">
        <v>445</v>
      </c>
      <c r="B81" t="s">
        <v>453</v>
      </c>
      <c r="C81">
        <v>-0.25</v>
      </c>
    </row>
    <row r="82" spans="1:3" x14ac:dyDescent="0.25">
      <c r="A82" t="s">
        <v>457</v>
      </c>
      <c r="B82" t="s">
        <v>450</v>
      </c>
      <c r="C82">
        <v>0.93</v>
      </c>
    </row>
    <row r="83" spans="1:3" x14ac:dyDescent="0.25">
      <c r="A83" t="s">
        <v>460</v>
      </c>
      <c r="B83" t="s">
        <v>450</v>
      </c>
      <c r="C83">
        <v>-0.15</v>
      </c>
    </row>
    <row r="84" spans="1:3" x14ac:dyDescent="0.25">
      <c r="A84" t="s">
        <v>461</v>
      </c>
      <c r="B84" t="s">
        <v>450</v>
      </c>
      <c r="C84">
        <v>-0.2</v>
      </c>
    </row>
    <row r="85" spans="1:3" x14ac:dyDescent="0.25">
      <c r="A85" t="s">
        <v>445</v>
      </c>
      <c r="B85" t="s">
        <v>450</v>
      </c>
      <c r="C85">
        <v>-0.25</v>
      </c>
    </row>
    <row r="86" spans="1:3" x14ac:dyDescent="0.25">
      <c r="A86" t="s">
        <v>458</v>
      </c>
      <c r="B86" t="s">
        <v>450</v>
      </c>
      <c r="C86">
        <v>1</v>
      </c>
    </row>
    <row r="87" spans="1:3" x14ac:dyDescent="0.25">
      <c r="A87" t="s">
        <v>455</v>
      </c>
      <c r="B87" t="s">
        <v>450</v>
      </c>
      <c r="C87">
        <v>-1</v>
      </c>
    </row>
    <row r="88" spans="1:3" x14ac:dyDescent="0.25">
      <c r="A88" t="s">
        <v>457</v>
      </c>
      <c r="B88" t="s">
        <v>447</v>
      </c>
      <c r="C88">
        <v>-7.0000000000000007E-2</v>
      </c>
    </row>
    <row r="89" spans="1:3" x14ac:dyDescent="0.25">
      <c r="A89" t="s">
        <v>460</v>
      </c>
      <c r="B89" t="s">
        <v>447</v>
      </c>
      <c r="C89">
        <v>-0.15</v>
      </c>
    </row>
    <row r="90" spans="1:3" x14ac:dyDescent="0.25">
      <c r="A90" t="s">
        <v>461</v>
      </c>
      <c r="B90" t="s">
        <v>447</v>
      </c>
      <c r="C90">
        <v>-0.2</v>
      </c>
    </row>
    <row r="91" spans="1:3" x14ac:dyDescent="0.25">
      <c r="A91" t="s">
        <v>445</v>
      </c>
      <c r="B91" t="s">
        <v>447</v>
      </c>
      <c r="C91">
        <v>-0.25</v>
      </c>
    </row>
    <row r="92" spans="1:3" x14ac:dyDescent="0.25">
      <c r="A92" t="s">
        <v>456</v>
      </c>
      <c r="B92" t="s">
        <v>447</v>
      </c>
      <c r="C92">
        <v>1</v>
      </c>
    </row>
    <row r="93" spans="1:3" x14ac:dyDescent="0.25">
      <c r="A93" t="s">
        <v>457</v>
      </c>
      <c r="B93" t="s">
        <v>446</v>
      </c>
      <c r="C93">
        <v>-7.0000000000000007E-2</v>
      </c>
    </row>
    <row r="94" spans="1:3" x14ac:dyDescent="0.25">
      <c r="A94" t="s">
        <v>460</v>
      </c>
      <c r="B94" t="s">
        <v>446</v>
      </c>
      <c r="C94">
        <v>-0.15</v>
      </c>
    </row>
    <row r="95" spans="1:3" x14ac:dyDescent="0.25">
      <c r="A95" t="s">
        <v>461</v>
      </c>
      <c r="B95" t="s">
        <v>446</v>
      </c>
      <c r="C95">
        <v>-0.2</v>
      </c>
    </row>
    <row r="96" spans="1:3" x14ac:dyDescent="0.25">
      <c r="A96" t="s">
        <v>445</v>
      </c>
      <c r="B96" t="s">
        <v>446</v>
      </c>
      <c r="C96">
        <v>0.75</v>
      </c>
    </row>
    <row r="97" spans="1:3" x14ac:dyDescent="0.25">
      <c r="A97" t="s">
        <v>455</v>
      </c>
      <c r="B97" t="s">
        <v>446</v>
      </c>
      <c r="C97">
        <v>1</v>
      </c>
    </row>
    <row r="98" spans="1:3" x14ac:dyDescent="0.25">
      <c r="A98" t="s">
        <v>434</v>
      </c>
      <c r="B98" t="s">
        <v>26</v>
      </c>
      <c r="C98">
        <v>-2.3E-2</v>
      </c>
    </row>
    <row r="99" spans="1:3" x14ac:dyDescent="0.25">
      <c r="A99" t="s">
        <v>437</v>
      </c>
      <c r="B99" t="s">
        <v>26</v>
      </c>
      <c r="C99">
        <v>-0.1</v>
      </c>
    </row>
    <row r="100" spans="1:3" x14ac:dyDescent="0.25">
      <c r="A100" t="s">
        <v>431</v>
      </c>
      <c r="B100" t="s">
        <v>26</v>
      </c>
      <c r="C100">
        <v>-0.25</v>
      </c>
    </row>
    <row r="101" spans="1:3" x14ac:dyDescent="0.25">
      <c r="A101" t="s">
        <v>436</v>
      </c>
      <c r="B101" t="s">
        <v>26</v>
      </c>
      <c r="C101">
        <v>-0.16500000000000001</v>
      </c>
    </row>
    <row r="102" spans="1:3" x14ac:dyDescent="0.25">
      <c r="A102" t="s">
        <v>432</v>
      </c>
      <c r="B102" t="s">
        <v>26</v>
      </c>
      <c r="C102">
        <v>-0.16500000000000001</v>
      </c>
    </row>
    <row r="103" spans="1:3" x14ac:dyDescent="0.25">
      <c r="A103" t="s">
        <v>440</v>
      </c>
      <c r="B103" t="s">
        <v>26</v>
      </c>
      <c r="C103">
        <v>0.33300000000000002</v>
      </c>
    </row>
    <row r="104" spans="1:3" x14ac:dyDescent="0.25">
      <c r="A104" t="s">
        <v>434</v>
      </c>
      <c r="B104" t="s">
        <v>28</v>
      </c>
      <c r="C104">
        <v>-2.3E-2</v>
      </c>
    </row>
    <row r="105" spans="1:3" x14ac:dyDescent="0.25">
      <c r="A105" t="s">
        <v>437</v>
      </c>
      <c r="B105" t="s">
        <v>28</v>
      </c>
      <c r="C105">
        <v>-0.1</v>
      </c>
    </row>
    <row r="106" spans="1:3" x14ac:dyDescent="0.25">
      <c r="A106" t="s">
        <v>431</v>
      </c>
      <c r="B106" t="s">
        <v>28</v>
      </c>
      <c r="C106">
        <v>-0.25</v>
      </c>
    </row>
    <row r="107" spans="1:3" x14ac:dyDescent="0.25">
      <c r="A107" t="s">
        <v>436</v>
      </c>
      <c r="B107" t="s">
        <v>28</v>
      </c>
      <c r="C107">
        <v>-0.16500000000000001</v>
      </c>
    </row>
    <row r="108" spans="1:3" x14ac:dyDescent="0.25">
      <c r="A108" t="s">
        <v>432</v>
      </c>
      <c r="B108" t="s">
        <v>28</v>
      </c>
      <c r="C108">
        <v>-0.16500000000000001</v>
      </c>
    </row>
    <row r="109" spans="1:3" x14ac:dyDescent="0.25">
      <c r="A109" t="s">
        <v>440</v>
      </c>
      <c r="B109" t="s">
        <v>28</v>
      </c>
      <c r="C109">
        <v>0.33300000000000002</v>
      </c>
    </row>
    <row r="110" spans="1:3" x14ac:dyDescent="0.25">
      <c r="A110" t="s">
        <v>437</v>
      </c>
      <c r="B110" t="s">
        <v>56</v>
      </c>
      <c r="C110">
        <v>-0.1</v>
      </c>
    </row>
    <row r="111" spans="1:3" x14ac:dyDescent="0.25">
      <c r="A111" t="s">
        <v>440</v>
      </c>
      <c r="B111" t="s">
        <v>56</v>
      </c>
      <c r="C111">
        <v>0.125</v>
      </c>
    </row>
    <row r="112" spans="1:3" x14ac:dyDescent="0.25">
      <c r="A112" t="s">
        <v>434</v>
      </c>
      <c r="B112" t="s">
        <v>30</v>
      </c>
      <c r="C112">
        <v>-7.0000000000000007E-2</v>
      </c>
    </row>
    <row r="113" spans="1:3" x14ac:dyDescent="0.25">
      <c r="A113" t="s">
        <v>437</v>
      </c>
      <c r="B113" t="s">
        <v>30</v>
      </c>
      <c r="C113">
        <v>-0.1</v>
      </c>
    </row>
    <row r="114" spans="1:3" x14ac:dyDescent="0.25">
      <c r="A114" t="s">
        <v>438</v>
      </c>
      <c r="B114" t="s">
        <v>30</v>
      </c>
      <c r="C114">
        <v>-0.15</v>
      </c>
    </row>
    <row r="115" spans="1:3" x14ac:dyDescent="0.25">
      <c r="A115" t="s">
        <v>439</v>
      </c>
      <c r="B115" t="s">
        <v>30</v>
      </c>
      <c r="C115">
        <v>-0.2</v>
      </c>
    </row>
    <row r="116" spans="1:3" x14ac:dyDescent="0.25">
      <c r="A116" t="s">
        <v>431</v>
      </c>
      <c r="B116" t="s">
        <v>30</v>
      </c>
      <c r="C116">
        <v>-0.25</v>
      </c>
    </row>
    <row r="117" spans="1:3" x14ac:dyDescent="0.25">
      <c r="A117" t="s">
        <v>436</v>
      </c>
      <c r="B117" t="s">
        <v>30</v>
      </c>
      <c r="C117">
        <v>-1</v>
      </c>
    </row>
    <row r="118" spans="1:3" x14ac:dyDescent="0.25">
      <c r="A118" t="s">
        <v>432</v>
      </c>
      <c r="B118" t="s">
        <v>30</v>
      </c>
      <c r="C118">
        <v>-1</v>
      </c>
    </row>
    <row r="119" spans="1:3" x14ac:dyDescent="0.25">
      <c r="A119" t="s">
        <v>434</v>
      </c>
      <c r="B119" t="s">
        <v>435</v>
      </c>
      <c r="C119">
        <v>0.93</v>
      </c>
    </row>
    <row r="120" spans="1:3" x14ac:dyDescent="0.25">
      <c r="A120" t="s">
        <v>438</v>
      </c>
      <c r="B120" t="s">
        <v>435</v>
      </c>
      <c r="C120">
        <v>-0.15</v>
      </c>
    </row>
    <row r="121" spans="1:3" x14ac:dyDescent="0.25">
      <c r="A121" t="s">
        <v>439</v>
      </c>
      <c r="B121" t="s">
        <v>435</v>
      </c>
      <c r="C121">
        <v>-0.2</v>
      </c>
    </row>
    <row r="122" spans="1:3" x14ac:dyDescent="0.25">
      <c r="A122" t="s">
        <v>437</v>
      </c>
      <c r="B122" t="s">
        <v>443</v>
      </c>
      <c r="C122">
        <v>-0.1</v>
      </c>
    </row>
    <row r="123" spans="1:3" x14ac:dyDescent="0.25">
      <c r="A123" t="s">
        <v>440</v>
      </c>
      <c r="B123" t="s">
        <v>443</v>
      </c>
      <c r="C123">
        <v>-1</v>
      </c>
    </row>
    <row r="124" spans="1:3" x14ac:dyDescent="0.25">
      <c r="A124" t="s">
        <v>441</v>
      </c>
      <c r="B124" t="s">
        <v>34</v>
      </c>
      <c r="C124">
        <v>-1</v>
      </c>
    </row>
    <row r="125" spans="1:3" x14ac:dyDescent="0.25">
      <c r="A125" t="s">
        <v>434</v>
      </c>
      <c r="B125" t="s">
        <v>34</v>
      </c>
      <c r="C125">
        <v>-7.0000000000000007E-2</v>
      </c>
    </row>
    <row r="126" spans="1:3" x14ac:dyDescent="0.25">
      <c r="A126" t="s">
        <v>437</v>
      </c>
      <c r="B126" t="s">
        <v>34</v>
      </c>
      <c r="C126">
        <v>-0.1</v>
      </c>
    </row>
    <row r="127" spans="1:3" x14ac:dyDescent="0.25">
      <c r="A127" t="s">
        <v>438</v>
      </c>
      <c r="B127" t="s">
        <v>34</v>
      </c>
      <c r="C127">
        <v>-0.15</v>
      </c>
    </row>
    <row r="128" spans="1:3" x14ac:dyDescent="0.25">
      <c r="A128" t="s">
        <v>439</v>
      </c>
      <c r="B128" t="s">
        <v>34</v>
      </c>
      <c r="C128">
        <v>-0.2</v>
      </c>
    </row>
    <row r="129" spans="1:3" x14ac:dyDescent="0.25">
      <c r="A129" t="s">
        <v>431</v>
      </c>
      <c r="B129" t="s">
        <v>34</v>
      </c>
      <c r="C129">
        <v>-0.25</v>
      </c>
    </row>
    <row r="130" spans="1:3" x14ac:dyDescent="0.25">
      <c r="A130" t="s">
        <v>433</v>
      </c>
      <c r="B130" t="s">
        <v>34</v>
      </c>
      <c r="C130">
        <v>-1</v>
      </c>
    </row>
    <row r="131" spans="1:3" x14ac:dyDescent="0.25">
      <c r="A131" t="s">
        <v>440</v>
      </c>
      <c r="B131" t="s">
        <v>34</v>
      </c>
      <c r="C131">
        <v>-1</v>
      </c>
    </row>
    <row r="132" spans="1:3" x14ac:dyDescent="0.25">
      <c r="A132" t="s">
        <v>434</v>
      </c>
      <c r="B132" t="s">
        <v>444</v>
      </c>
      <c r="C132">
        <v>-7.0000000000000007E-2</v>
      </c>
    </row>
    <row r="133" spans="1:3" x14ac:dyDescent="0.25">
      <c r="A133" t="s">
        <v>437</v>
      </c>
      <c r="B133" t="s">
        <v>444</v>
      </c>
      <c r="C133">
        <v>-0.1</v>
      </c>
    </row>
    <row r="134" spans="1:3" x14ac:dyDescent="0.25">
      <c r="A134" t="s">
        <v>438</v>
      </c>
      <c r="B134" t="s">
        <v>444</v>
      </c>
      <c r="C134">
        <v>-0.15</v>
      </c>
    </row>
    <row r="135" spans="1:3" x14ac:dyDescent="0.25">
      <c r="A135" t="s">
        <v>439</v>
      </c>
      <c r="B135" t="s">
        <v>444</v>
      </c>
      <c r="C135">
        <v>-0.2</v>
      </c>
    </row>
    <row r="136" spans="1:3" x14ac:dyDescent="0.25">
      <c r="A136" t="s">
        <v>431</v>
      </c>
      <c r="B136" t="s">
        <v>444</v>
      </c>
      <c r="C136">
        <v>-0.25</v>
      </c>
    </row>
    <row r="137" spans="1:3" x14ac:dyDescent="0.25">
      <c r="A137" t="s">
        <v>436</v>
      </c>
      <c r="B137" t="s">
        <v>444</v>
      </c>
      <c r="C137">
        <v>-0.2</v>
      </c>
    </row>
    <row r="138" spans="1:3" x14ac:dyDescent="0.25">
      <c r="A138" t="s">
        <v>432</v>
      </c>
      <c r="B138" t="s">
        <v>444</v>
      </c>
      <c r="C138">
        <v>-0.8</v>
      </c>
    </row>
    <row r="139" spans="1:3" x14ac:dyDescent="0.25">
      <c r="A139" t="s">
        <v>434</v>
      </c>
      <c r="B139" t="s">
        <v>35</v>
      </c>
      <c r="C139">
        <v>0</v>
      </c>
    </row>
    <row r="140" spans="1:3" x14ac:dyDescent="0.25">
      <c r="A140" t="s">
        <v>437</v>
      </c>
      <c r="B140" t="s">
        <v>35</v>
      </c>
      <c r="C140">
        <v>0</v>
      </c>
    </row>
    <row r="141" spans="1:3" x14ac:dyDescent="0.25">
      <c r="A141" t="s">
        <v>431</v>
      </c>
      <c r="B141" t="s">
        <v>35</v>
      </c>
      <c r="C141">
        <v>0</v>
      </c>
    </row>
    <row r="142" spans="1:3" x14ac:dyDescent="0.25">
      <c r="A142" t="s">
        <v>436</v>
      </c>
      <c r="B142" t="s">
        <v>35</v>
      </c>
      <c r="C142">
        <v>0</v>
      </c>
    </row>
    <row r="143" spans="1:3" x14ac:dyDescent="0.25">
      <c r="A143" t="s">
        <v>440</v>
      </c>
      <c r="B143" t="s">
        <v>35</v>
      </c>
      <c r="C143">
        <v>0.33300000000000002</v>
      </c>
    </row>
    <row r="144" spans="1:3" x14ac:dyDescent="0.25">
      <c r="A144" t="s">
        <v>437</v>
      </c>
      <c r="B144" t="s">
        <v>36</v>
      </c>
      <c r="C144">
        <v>0</v>
      </c>
    </row>
    <row r="145" spans="1:3" x14ac:dyDescent="0.25">
      <c r="A145" t="s">
        <v>440</v>
      </c>
      <c r="B145" t="s">
        <v>36</v>
      </c>
      <c r="C145">
        <v>0.125</v>
      </c>
    </row>
    <row r="146" spans="1:3" x14ac:dyDescent="0.25">
      <c r="A146" t="s">
        <v>434</v>
      </c>
      <c r="B146" t="s">
        <v>37</v>
      </c>
      <c r="C146">
        <v>-7.0000000000000007E-2</v>
      </c>
    </row>
    <row r="147" spans="1:3" x14ac:dyDescent="0.25">
      <c r="A147" t="s">
        <v>438</v>
      </c>
      <c r="B147" t="s">
        <v>37</v>
      </c>
      <c r="C147">
        <v>0.85</v>
      </c>
    </row>
    <row r="148" spans="1:3" x14ac:dyDescent="0.25">
      <c r="A148" t="s">
        <v>439</v>
      </c>
      <c r="B148" t="s">
        <v>37</v>
      </c>
      <c r="C148">
        <v>-0.2</v>
      </c>
    </row>
    <row r="149" spans="1:3" x14ac:dyDescent="0.25">
      <c r="A149" t="s">
        <v>431</v>
      </c>
      <c r="B149" t="s">
        <v>37</v>
      </c>
      <c r="C149">
        <v>-0.25</v>
      </c>
    </row>
    <row r="150" spans="1:3" x14ac:dyDescent="0.25">
      <c r="A150" t="s">
        <v>441</v>
      </c>
      <c r="B150" t="s">
        <v>40</v>
      </c>
      <c r="C150">
        <v>-1</v>
      </c>
    </row>
    <row r="151" spans="1:3" x14ac:dyDescent="0.25">
      <c r="A151" t="s">
        <v>434</v>
      </c>
      <c r="B151" t="s">
        <v>40</v>
      </c>
      <c r="C151">
        <v>0.93</v>
      </c>
    </row>
    <row r="152" spans="1:3" x14ac:dyDescent="0.25">
      <c r="A152" t="s">
        <v>438</v>
      </c>
      <c r="B152" t="s">
        <v>40</v>
      </c>
      <c r="C152">
        <v>-0.15</v>
      </c>
    </row>
    <row r="153" spans="1:3" x14ac:dyDescent="0.25">
      <c r="A153" t="s">
        <v>431</v>
      </c>
      <c r="B153" t="s">
        <v>40</v>
      </c>
      <c r="C153">
        <v>-0.25</v>
      </c>
    </row>
    <row r="154" spans="1:3" x14ac:dyDescent="0.25">
      <c r="A154" t="s">
        <v>434</v>
      </c>
      <c r="B154" t="s">
        <v>43</v>
      </c>
      <c r="C154">
        <v>-7.0000000000000007E-2</v>
      </c>
    </row>
    <row r="155" spans="1:3" x14ac:dyDescent="0.25">
      <c r="A155" t="s">
        <v>438</v>
      </c>
      <c r="B155" t="s">
        <v>43</v>
      </c>
      <c r="C155">
        <v>-0.15</v>
      </c>
    </row>
    <row r="156" spans="1:3" x14ac:dyDescent="0.25">
      <c r="A156" t="s">
        <v>439</v>
      </c>
      <c r="B156" t="s">
        <v>43</v>
      </c>
      <c r="C156">
        <v>0.8</v>
      </c>
    </row>
    <row r="157" spans="1:3" x14ac:dyDescent="0.25">
      <c r="A157" t="s">
        <v>431</v>
      </c>
      <c r="B157" t="s">
        <v>43</v>
      </c>
      <c r="C157">
        <v>-0.25</v>
      </c>
    </row>
    <row r="158" spans="1:3" x14ac:dyDescent="0.25">
      <c r="A158" t="s">
        <v>434</v>
      </c>
      <c r="B158" t="s">
        <v>53</v>
      </c>
      <c r="C158">
        <v>-7.0000000000000007E-2</v>
      </c>
    </row>
    <row r="159" spans="1:3" x14ac:dyDescent="0.25">
      <c r="A159" t="s">
        <v>437</v>
      </c>
      <c r="B159" t="s">
        <v>53</v>
      </c>
      <c r="C159">
        <v>-0.1</v>
      </c>
    </row>
    <row r="160" spans="1:3" x14ac:dyDescent="0.25">
      <c r="A160" t="s">
        <v>438</v>
      </c>
      <c r="B160" t="s">
        <v>53</v>
      </c>
      <c r="C160">
        <v>-0.15</v>
      </c>
    </row>
    <row r="161" spans="1:3" x14ac:dyDescent="0.25">
      <c r="A161" t="s">
        <v>439</v>
      </c>
      <c r="B161" t="s">
        <v>53</v>
      </c>
      <c r="C161">
        <v>-0.2</v>
      </c>
    </row>
    <row r="162" spans="1:3" x14ac:dyDescent="0.25">
      <c r="A162" t="s">
        <v>431</v>
      </c>
      <c r="B162" t="s">
        <v>53</v>
      </c>
      <c r="C162">
        <v>-0.25</v>
      </c>
    </row>
    <row r="163" spans="1:3" x14ac:dyDescent="0.25">
      <c r="A163" t="s">
        <v>432</v>
      </c>
      <c r="B163" t="s">
        <v>53</v>
      </c>
      <c r="C163">
        <v>1</v>
      </c>
    </row>
    <row r="164" spans="1:3" x14ac:dyDescent="0.25">
      <c r="A164" t="s">
        <v>434</v>
      </c>
      <c r="B164" t="s">
        <v>45</v>
      </c>
      <c r="C164">
        <v>0.93</v>
      </c>
    </row>
    <row r="165" spans="1:3" x14ac:dyDescent="0.25">
      <c r="A165" t="s">
        <v>438</v>
      </c>
      <c r="B165" t="s">
        <v>45</v>
      </c>
      <c r="C165">
        <v>-0.15</v>
      </c>
    </row>
    <row r="166" spans="1:3" x14ac:dyDescent="0.25">
      <c r="A166" t="s">
        <v>431</v>
      </c>
      <c r="B166" t="s">
        <v>45</v>
      </c>
      <c r="C166">
        <v>-0.25</v>
      </c>
    </row>
    <row r="167" spans="1:3" x14ac:dyDescent="0.25">
      <c r="A167" t="s">
        <v>436</v>
      </c>
      <c r="B167" t="s">
        <v>45</v>
      </c>
      <c r="C167">
        <v>1</v>
      </c>
    </row>
    <row r="168" spans="1:3" x14ac:dyDescent="0.25">
      <c r="A168" t="s">
        <v>432</v>
      </c>
      <c r="B168" t="s">
        <v>45</v>
      </c>
      <c r="C168">
        <v>-1</v>
      </c>
    </row>
    <row r="169" spans="1:3" x14ac:dyDescent="0.25">
      <c r="A169" t="s">
        <v>434</v>
      </c>
      <c r="B169" t="s">
        <v>46</v>
      </c>
      <c r="C169">
        <v>-7.0000000000000007E-2</v>
      </c>
    </row>
    <row r="170" spans="1:3" x14ac:dyDescent="0.25">
      <c r="A170" t="s">
        <v>438</v>
      </c>
      <c r="B170" t="s">
        <v>46</v>
      </c>
      <c r="C170">
        <v>-0.15</v>
      </c>
    </row>
    <row r="171" spans="1:3" x14ac:dyDescent="0.25">
      <c r="A171" t="s">
        <v>439</v>
      </c>
      <c r="B171" t="s">
        <v>46</v>
      </c>
      <c r="C171">
        <v>-0.2</v>
      </c>
    </row>
    <row r="172" spans="1:3" x14ac:dyDescent="0.25">
      <c r="A172" t="s">
        <v>431</v>
      </c>
      <c r="B172" t="s">
        <v>46</v>
      </c>
      <c r="C172">
        <v>-0.25</v>
      </c>
    </row>
    <row r="173" spans="1:3" x14ac:dyDescent="0.25">
      <c r="A173" t="s">
        <v>433</v>
      </c>
      <c r="B173" t="s">
        <v>46</v>
      </c>
      <c r="C173">
        <v>1</v>
      </c>
    </row>
    <row r="174" spans="1:3" x14ac:dyDescent="0.25">
      <c r="A174" t="s">
        <v>434</v>
      </c>
      <c r="B174" t="s">
        <v>47</v>
      </c>
      <c r="C174">
        <v>-7.0000000000000007E-2</v>
      </c>
    </row>
    <row r="175" spans="1:3" x14ac:dyDescent="0.25">
      <c r="A175" t="s">
        <v>438</v>
      </c>
      <c r="B175" t="s">
        <v>47</v>
      </c>
      <c r="C175">
        <v>-0.15</v>
      </c>
    </row>
    <row r="176" spans="1:3" x14ac:dyDescent="0.25">
      <c r="A176" t="s">
        <v>439</v>
      </c>
      <c r="B176" t="s">
        <v>47</v>
      </c>
      <c r="C176">
        <v>-0.2</v>
      </c>
    </row>
    <row r="177" spans="1:3" x14ac:dyDescent="0.25">
      <c r="A177" t="s">
        <v>431</v>
      </c>
      <c r="B177" t="s">
        <v>47</v>
      </c>
      <c r="C177">
        <v>0.75</v>
      </c>
    </row>
    <row r="178" spans="1:3" x14ac:dyDescent="0.25">
      <c r="A178" t="s">
        <v>432</v>
      </c>
      <c r="B178" t="s">
        <v>47</v>
      </c>
      <c r="C178">
        <v>1</v>
      </c>
    </row>
  </sheetData>
  <autoFilter ref="A1:C178" xr:uid="{7376126D-3EA0-4AA6-924B-8CDB79470677}">
    <sortState xmlns:xlrd2="http://schemas.microsoft.com/office/spreadsheetml/2017/richdata2" ref="A2:C178">
      <sortCondition ref="B1:B178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37BB-98DC-4ED4-A28C-74B3846A915F}">
  <dimension ref="A1:C31"/>
  <sheetViews>
    <sheetView tabSelected="1" workbookViewId="0">
      <selection activeCell="D37" sqref="D37"/>
    </sheetView>
  </sheetViews>
  <sheetFormatPr defaultRowHeight="15" x14ac:dyDescent="0.25"/>
  <sheetData>
    <row r="1" spans="1:3" x14ac:dyDescent="0.25">
      <c r="A1" t="s">
        <v>347</v>
      </c>
      <c r="B1" t="s">
        <v>635</v>
      </c>
      <c r="C1" t="s">
        <v>3</v>
      </c>
    </row>
    <row r="2" spans="1:3" x14ac:dyDescent="0.25">
      <c r="A2" t="s">
        <v>159</v>
      </c>
      <c r="B2" t="s">
        <v>148</v>
      </c>
      <c r="C2">
        <v>0.42199999999999999</v>
      </c>
    </row>
    <row r="3" spans="1:3" x14ac:dyDescent="0.25">
      <c r="A3" t="s">
        <v>159</v>
      </c>
      <c r="B3" t="s">
        <v>150</v>
      </c>
      <c r="C3">
        <v>0.69299999999999995</v>
      </c>
    </row>
    <row r="4" spans="1:3" x14ac:dyDescent="0.25">
      <c r="A4" t="s">
        <v>159</v>
      </c>
      <c r="B4" t="s">
        <v>151</v>
      </c>
      <c r="C4">
        <v>0.98499999999999999</v>
      </c>
    </row>
    <row r="5" spans="1:3" x14ac:dyDescent="0.25">
      <c r="A5" t="s">
        <v>159</v>
      </c>
      <c r="B5" t="s">
        <v>152</v>
      </c>
      <c r="C5">
        <v>1.034</v>
      </c>
    </row>
    <row r="6" spans="1:3" x14ac:dyDescent="0.25">
      <c r="A6" t="s">
        <v>159</v>
      </c>
      <c r="B6" t="s">
        <v>153</v>
      </c>
      <c r="C6">
        <v>1.1970000000000001</v>
      </c>
    </row>
    <row r="7" spans="1:3" x14ac:dyDescent="0.25">
      <c r="A7" t="s">
        <v>148</v>
      </c>
      <c r="B7" t="s">
        <v>159</v>
      </c>
      <c r="C7">
        <v>0.42199999999999999</v>
      </c>
    </row>
    <row r="8" spans="1:3" x14ac:dyDescent="0.25">
      <c r="A8" t="s">
        <v>148</v>
      </c>
      <c r="B8" t="s">
        <v>150</v>
      </c>
      <c r="C8">
        <v>0.26800000000000002</v>
      </c>
    </row>
    <row r="9" spans="1:3" x14ac:dyDescent="0.25">
      <c r="A9" t="s">
        <v>148</v>
      </c>
      <c r="B9" t="s">
        <v>151</v>
      </c>
      <c r="C9">
        <v>0.61399999999999999</v>
      </c>
    </row>
    <row r="10" spans="1:3" x14ac:dyDescent="0.25">
      <c r="A10" t="s">
        <v>148</v>
      </c>
      <c r="B10" t="s">
        <v>152</v>
      </c>
      <c r="C10">
        <v>0.66200000000000003</v>
      </c>
    </row>
    <row r="11" spans="1:3" x14ac:dyDescent="0.25">
      <c r="A11" t="s">
        <v>148</v>
      </c>
      <c r="B11" t="s">
        <v>153</v>
      </c>
      <c r="C11">
        <v>0.82599999999999996</v>
      </c>
    </row>
    <row r="12" spans="1:3" x14ac:dyDescent="0.25">
      <c r="A12" t="s">
        <v>150</v>
      </c>
      <c r="B12" t="s">
        <v>159</v>
      </c>
      <c r="C12">
        <v>0.69299999999999995</v>
      </c>
    </row>
    <row r="13" spans="1:3" x14ac:dyDescent="0.25">
      <c r="A13" t="s">
        <v>150</v>
      </c>
      <c r="B13" t="s">
        <v>148</v>
      </c>
      <c r="C13">
        <v>0.26800000000000002</v>
      </c>
    </row>
    <row r="14" spans="1:3" x14ac:dyDescent="0.25">
      <c r="A14" t="s">
        <v>150</v>
      </c>
      <c r="B14" t="s">
        <v>151</v>
      </c>
      <c r="C14">
        <v>0.47199999999999998</v>
      </c>
    </row>
    <row r="15" spans="1:3" x14ac:dyDescent="0.25">
      <c r="A15" t="s">
        <v>150</v>
      </c>
      <c r="B15" t="s">
        <v>152</v>
      </c>
      <c r="C15">
        <v>0.441</v>
      </c>
    </row>
    <row r="16" spans="1:3" x14ac:dyDescent="0.25">
      <c r="A16" t="s">
        <v>150</v>
      </c>
      <c r="B16" t="s">
        <v>153</v>
      </c>
      <c r="C16">
        <v>0.60499999999999998</v>
      </c>
    </row>
    <row r="17" spans="1:3" x14ac:dyDescent="0.25">
      <c r="A17" t="s">
        <v>151</v>
      </c>
      <c r="B17" t="s">
        <v>159</v>
      </c>
      <c r="C17">
        <v>0.98499999999999999</v>
      </c>
    </row>
    <row r="18" spans="1:3" x14ac:dyDescent="0.25">
      <c r="A18" t="s">
        <v>151</v>
      </c>
      <c r="B18" t="s">
        <v>148</v>
      </c>
      <c r="C18">
        <v>0.61399999999999999</v>
      </c>
    </row>
    <row r="19" spans="1:3" x14ac:dyDescent="0.25">
      <c r="A19" t="s">
        <v>151</v>
      </c>
      <c r="B19" t="s">
        <v>150</v>
      </c>
      <c r="C19">
        <v>0.47199999999999998</v>
      </c>
    </row>
    <row r="20" spans="1:3" x14ac:dyDescent="0.25">
      <c r="A20" t="s">
        <v>151</v>
      </c>
      <c r="B20" t="s">
        <v>152</v>
      </c>
      <c r="C20">
        <v>0.23499999999999999</v>
      </c>
    </row>
    <row r="21" spans="1:3" x14ac:dyDescent="0.25">
      <c r="A21" t="s">
        <v>151</v>
      </c>
      <c r="B21" t="s">
        <v>153</v>
      </c>
      <c r="C21">
        <v>0.26400000000000001</v>
      </c>
    </row>
    <row r="22" spans="1:3" x14ac:dyDescent="0.25">
      <c r="A22" t="s">
        <v>152</v>
      </c>
      <c r="B22" t="s">
        <v>159</v>
      </c>
      <c r="C22">
        <v>1.034</v>
      </c>
    </row>
    <row r="23" spans="1:3" x14ac:dyDescent="0.25">
      <c r="A23" t="s">
        <v>152</v>
      </c>
      <c r="B23" t="s">
        <v>148</v>
      </c>
      <c r="C23">
        <v>0.66200000000000003</v>
      </c>
    </row>
    <row r="24" spans="1:3" x14ac:dyDescent="0.25">
      <c r="A24" t="s">
        <v>152</v>
      </c>
      <c r="B24" t="s">
        <v>150</v>
      </c>
      <c r="C24">
        <v>0.441</v>
      </c>
    </row>
    <row r="25" spans="1:3" x14ac:dyDescent="0.25">
      <c r="A25" t="s">
        <v>152</v>
      </c>
      <c r="B25" t="s">
        <v>151</v>
      </c>
      <c r="C25">
        <v>0.23499999999999999</v>
      </c>
    </row>
    <row r="26" spans="1:3" x14ac:dyDescent="0.25">
      <c r="A26" t="s">
        <v>152</v>
      </c>
      <c r="B26" t="s">
        <v>153</v>
      </c>
      <c r="C26">
        <v>0.182</v>
      </c>
    </row>
    <row r="27" spans="1:3" x14ac:dyDescent="0.25">
      <c r="A27" t="s">
        <v>153</v>
      </c>
      <c r="B27" t="s">
        <v>159</v>
      </c>
      <c r="C27">
        <v>1.1970000000000001</v>
      </c>
    </row>
    <row r="28" spans="1:3" x14ac:dyDescent="0.25">
      <c r="A28" t="s">
        <v>153</v>
      </c>
      <c r="B28" t="s">
        <v>148</v>
      </c>
      <c r="C28">
        <v>0.82599999999999996</v>
      </c>
    </row>
    <row r="29" spans="1:3" x14ac:dyDescent="0.25">
      <c r="A29" t="s">
        <v>153</v>
      </c>
      <c r="B29" t="s">
        <v>150</v>
      </c>
      <c r="C29">
        <v>0.60499999999999998</v>
      </c>
    </row>
    <row r="30" spans="1:3" x14ac:dyDescent="0.25">
      <c r="A30" t="s">
        <v>153</v>
      </c>
      <c r="B30" t="s">
        <v>151</v>
      </c>
      <c r="C30">
        <v>0.26400000000000001</v>
      </c>
    </row>
    <row r="31" spans="1:3" x14ac:dyDescent="0.25">
      <c r="A31" t="s">
        <v>153</v>
      </c>
      <c r="B31" t="s">
        <v>152</v>
      </c>
      <c r="C31">
        <v>0.182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F8849-C01F-4A0B-9953-8F8DCF30C6A1}">
  <sheetPr filterMode="1"/>
  <dimension ref="A1:D98"/>
  <sheetViews>
    <sheetView zoomScale="130" zoomScaleNormal="130" workbookViewId="0">
      <selection activeCell="B13" sqref="B13:B93"/>
    </sheetView>
  </sheetViews>
  <sheetFormatPr defaultRowHeight="15" x14ac:dyDescent="0.25"/>
  <cols>
    <col min="1" max="1" width="11" bestFit="1" customWidth="1"/>
    <col min="2" max="2" width="11.85546875" bestFit="1" customWidth="1"/>
    <col min="3" max="3" width="12.85546875" bestFit="1" customWidth="1"/>
  </cols>
  <sheetData>
    <row r="1" spans="1:4" x14ac:dyDescent="0.25">
      <c r="A1" t="s">
        <v>146</v>
      </c>
      <c r="B1" t="s">
        <v>369</v>
      </c>
      <c r="C1" t="s">
        <v>1</v>
      </c>
      <c r="D1" t="s">
        <v>345</v>
      </c>
    </row>
    <row r="2" spans="1:4" x14ac:dyDescent="0.25">
      <c r="A2" t="s">
        <v>159</v>
      </c>
      <c r="B2" t="s">
        <v>382</v>
      </c>
      <c r="C2" t="s">
        <v>275</v>
      </c>
      <c r="D2">
        <v>-1</v>
      </c>
    </row>
    <row r="3" spans="1:4" hidden="1" x14ac:dyDescent="0.25">
      <c r="A3" t="s">
        <v>159</v>
      </c>
      <c r="B3" t="s">
        <v>390</v>
      </c>
      <c r="C3" t="s">
        <v>75</v>
      </c>
      <c r="D3">
        <v>-0.61</v>
      </c>
    </row>
    <row r="4" spans="1:4" hidden="1" x14ac:dyDescent="0.25">
      <c r="A4" t="s">
        <v>159</v>
      </c>
      <c r="B4" s="9" t="s">
        <v>370</v>
      </c>
      <c r="C4" t="s">
        <v>41</v>
      </c>
      <c r="D4">
        <v>0.95</v>
      </c>
    </row>
    <row r="5" spans="1:4" hidden="1" x14ac:dyDescent="0.25">
      <c r="A5" t="s">
        <v>159</v>
      </c>
      <c r="B5" t="s">
        <v>389</v>
      </c>
      <c r="C5" t="s">
        <v>41</v>
      </c>
      <c r="D5">
        <v>1.333</v>
      </c>
    </row>
    <row r="6" spans="1:4" hidden="1" x14ac:dyDescent="0.25">
      <c r="A6" t="s">
        <v>159</v>
      </c>
      <c r="B6" t="s">
        <v>401</v>
      </c>
      <c r="C6" t="s">
        <v>41</v>
      </c>
      <c r="D6">
        <v>1</v>
      </c>
    </row>
    <row r="7" spans="1:4" hidden="1" x14ac:dyDescent="0.25">
      <c r="A7" t="s">
        <v>159</v>
      </c>
      <c r="B7" s="9" t="s">
        <v>378</v>
      </c>
      <c r="C7" t="s">
        <v>272</v>
      </c>
      <c r="D7">
        <v>-1</v>
      </c>
    </row>
    <row r="8" spans="1:4" hidden="1" x14ac:dyDescent="0.25">
      <c r="A8" t="s">
        <v>159</v>
      </c>
      <c r="B8" s="9" t="s">
        <v>377</v>
      </c>
      <c r="C8" t="s">
        <v>271</v>
      </c>
      <c r="D8">
        <v>-1</v>
      </c>
    </row>
    <row r="9" spans="1:4" hidden="1" x14ac:dyDescent="0.25">
      <c r="A9" t="s">
        <v>159</v>
      </c>
      <c r="B9" s="9" t="s">
        <v>371</v>
      </c>
      <c r="C9" t="s">
        <v>20</v>
      </c>
      <c r="D9">
        <v>1</v>
      </c>
    </row>
    <row r="10" spans="1:4" hidden="1" x14ac:dyDescent="0.25">
      <c r="A10" t="s">
        <v>159</v>
      </c>
      <c r="B10" t="s">
        <v>402</v>
      </c>
      <c r="C10" t="s">
        <v>20</v>
      </c>
      <c r="D10">
        <v>1</v>
      </c>
    </row>
    <row r="11" spans="1:4" hidden="1" x14ac:dyDescent="0.25">
      <c r="A11" t="s">
        <v>159</v>
      </c>
      <c r="B11" s="9" t="s">
        <v>379</v>
      </c>
      <c r="C11" t="s">
        <v>397</v>
      </c>
      <c r="D11">
        <v>-1</v>
      </c>
    </row>
    <row r="12" spans="1:4" hidden="1" x14ac:dyDescent="0.25">
      <c r="A12" t="s">
        <v>159</v>
      </c>
      <c r="B12" s="9" t="s">
        <v>380</v>
      </c>
      <c r="C12" t="s">
        <v>273</v>
      </c>
      <c r="D12">
        <v>-1</v>
      </c>
    </row>
    <row r="13" spans="1:4" hidden="1" x14ac:dyDescent="0.25">
      <c r="A13" t="s">
        <v>159</v>
      </c>
      <c r="B13" s="9" t="s">
        <v>381</v>
      </c>
      <c r="C13" t="s">
        <v>274</v>
      </c>
      <c r="D13">
        <v>-1</v>
      </c>
    </row>
    <row r="14" spans="1:4" hidden="1" x14ac:dyDescent="0.25">
      <c r="A14" t="s">
        <v>159</v>
      </c>
      <c r="B14" s="9" t="s">
        <v>370</v>
      </c>
      <c r="C14" t="s">
        <v>63</v>
      </c>
      <c r="D14">
        <v>-1</v>
      </c>
    </row>
    <row r="15" spans="1:4" hidden="1" x14ac:dyDescent="0.25">
      <c r="A15" t="s">
        <v>159</v>
      </c>
      <c r="B15" s="9" t="s">
        <v>371</v>
      </c>
      <c r="C15" t="s">
        <v>63</v>
      </c>
      <c r="D15">
        <v>-1</v>
      </c>
    </row>
    <row r="16" spans="1:4" hidden="1" x14ac:dyDescent="0.25">
      <c r="A16" t="s">
        <v>159</v>
      </c>
      <c r="B16" s="9" t="s">
        <v>372</v>
      </c>
      <c r="C16" t="s">
        <v>63</v>
      </c>
      <c r="D16">
        <v>1</v>
      </c>
    </row>
    <row r="17" spans="1:4" hidden="1" x14ac:dyDescent="0.25">
      <c r="A17" t="s">
        <v>159</v>
      </c>
      <c r="B17" t="s">
        <v>401</v>
      </c>
      <c r="C17" t="s">
        <v>282</v>
      </c>
      <c r="D17">
        <v>-1</v>
      </c>
    </row>
    <row r="18" spans="1:4" hidden="1" x14ac:dyDescent="0.25">
      <c r="A18" t="s">
        <v>159</v>
      </c>
      <c r="B18" t="s">
        <v>402</v>
      </c>
      <c r="C18" t="s">
        <v>283</v>
      </c>
      <c r="D18">
        <v>-1</v>
      </c>
    </row>
    <row r="19" spans="1:4" hidden="1" x14ac:dyDescent="0.25">
      <c r="A19" t="s">
        <v>159</v>
      </c>
      <c r="B19" t="s">
        <v>399</v>
      </c>
      <c r="C19" t="s">
        <v>284</v>
      </c>
      <c r="D19">
        <v>-1</v>
      </c>
    </row>
    <row r="20" spans="1:4" hidden="1" x14ac:dyDescent="0.25">
      <c r="A20" t="s">
        <v>159</v>
      </c>
      <c r="B20" s="9" t="s">
        <v>370</v>
      </c>
      <c r="C20" t="s">
        <v>168</v>
      </c>
      <c r="D20">
        <v>1</v>
      </c>
    </row>
    <row r="21" spans="1:4" hidden="1" x14ac:dyDescent="0.25">
      <c r="A21" t="s">
        <v>159</v>
      </c>
      <c r="B21" s="9" t="s">
        <v>371</v>
      </c>
      <c r="C21" t="s">
        <v>168</v>
      </c>
      <c r="D21">
        <v>1</v>
      </c>
    </row>
    <row r="22" spans="1:4" hidden="1" x14ac:dyDescent="0.25">
      <c r="A22" t="s">
        <v>159</v>
      </c>
      <c r="B22" s="9" t="s">
        <v>372</v>
      </c>
      <c r="C22" t="s">
        <v>168</v>
      </c>
      <c r="D22">
        <v>-1</v>
      </c>
    </row>
    <row r="23" spans="1:4" hidden="1" x14ac:dyDescent="0.25">
      <c r="A23" t="s">
        <v>159</v>
      </c>
      <c r="B23" t="s">
        <v>389</v>
      </c>
      <c r="C23" t="s">
        <v>400</v>
      </c>
      <c r="D23">
        <v>-1</v>
      </c>
    </row>
    <row r="24" spans="1:4" hidden="1" x14ac:dyDescent="0.25">
      <c r="A24" t="s">
        <v>159</v>
      </c>
      <c r="B24" t="s">
        <v>385</v>
      </c>
      <c r="C24" t="s">
        <v>84</v>
      </c>
      <c r="D24">
        <v>-1</v>
      </c>
    </row>
    <row r="25" spans="1:4" hidden="1" x14ac:dyDescent="0.25">
      <c r="A25" t="s">
        <v>159</v>
      </c>
      <c r="B25" t="s">
        <v>386</v>
      </c>
      <c r="C25" t="s">
        <v>84</v>
      </c>
      <c r="D25">
        <v>1</v>
      </c>
    </row>
    <row r="26" spans="1:4" hidden="1" x14ac:dyDescent="0.25">
      <c r="A26" t="s">
        <v>159</v>
      </c>
      <c r="B26" s="9" t="s">
        <v>372</v>
      </c>
      <c r="C26" t="s">
        <v>21</v>
      </c>
      <c r="D26">
        <v>-1</v>
      </c>
    </row>
    <row r="27" spans="1:4" hidden="1" x14ac:dyDescent="0.25">
      <c r="A27" t="s">
        <v>159</v>
      </c>
      <c r="B27" t="s">
        <v>390</v>
      </c>
      <c r="C27" t="s">
        <v>614</v>
      </c>
      <c r="D27">
        <v>-5.1999999999999998E-2</v>
      </c>
    </row>
    <row r="28" spans="1:4" hidden="1" x14ac:dyDescent="0.25">
      <c r="A28" t="s">
        <v>159</v>
      </c>
      <c r="B28" s="9" t="s">
        <v>376</v>
      </c>
      <c r="C28" t="s">
        <v>396</v>
      </c>
      <c r="D28">
        <v>-1</v>
      </c>
    </row>
    <row r="29" spans="1:4" hidden="1" x14ac:dyDescent="0.25">
      <c r="A29" t="s">
        <v>159</v>
      </c>
      <c r="B29" s="9" t="s">
        <v>375</v>
      </c>
      <c r="C29" t="s">
        <v>76</v>
      </c>
      <c r="D29">
        <v>1.0149999999999999</v>
      </c>
    </row>
    <row r="30" spans="1:4" hidden="1" x14ac:dyDescent="0.25">
      <c r="A30" t="s">
        <v>159</v>
      </c>
      <c r="B30" s="9" t="s">
        <v>375</v>
      </c>
      <c r="C30" t="s">
        <v>395</v>
      </c>
      <c r="D30">
        <v>-3.9E-2</v>
      </c>
    </row>
    <row r="31" spans="1:4" hidden="1" x14ac:dyDescent="0.25">
      <c r="A31" t="s">
        <v>159</v>
      </c>
      <c r="B31" s="9" t="s">
        <v>376</v>
      </c>
      <c r="C31" t="s">
        <v>395</v>
      </c>
      <c r="D31">
        <v>2.3179999999999999E-2</v>
      </c>
    </row>
    <row r="32" spans="1:4" hidden="1" x14ac:dyDescent="0.25">
      <c r="A32" t="s">
        <v>159</v>
      </c>
      <c r="B32" s="9" t="s">
        <v>377</v>
      </c>
      <c r="C32" t="s">
        <v>395</v>
      </c>
      <c r="D32">
        <v>0.28023999999999999</v>
      </c>
    </row>
    <row r="33" spans="1:4" hidden="1" x14ac:dyDescent="0.25">
      <c r="A33" t="s">
        <v>159</v>
      </c>
      <c r="B33" s="9" t="s">
        <v>378</v>
      </c>
      <c r="C33" t="s">
        <v>395</v>
      </c>
      <c r="D33">
        <v>0.81340000000000001</v>
      </c>
    </row>
    <row r="34" spans="1:4" hidden="1" x14ac:dyDescent="0.25">
      <c r="A34" t="s">
        <v>159</v>
      </c>
      <c r="B34" s="9" t="s">
        <v>379</v>
      </c>
      <c r="C34" t="s">
        <v>395</v>
      </c>
      <c r="D34">
        <v>0.32275999999999999</v>
      </c>
    </row>
    <row r="35" spans="1:4" hidden="1" x14ac:dyDescent="0.25">
      <c r="A35" t="s">
        <v>159</v>
      </c>
      <c r="B35" s="9" t="s">
        <v>380</v>
      </c>
      <c r="C35" t="s">
        <v>395</v>
      </c>
      <c r="D35">
        <v>0</v>
      </c>
    </row>
    <row r="36" spans="1:4" hidden="1" x14ac:dyDescent="0.25">
      <c r="A36" t="s">
        <v>159</v>
      </c>
      <c r="B36" s="9" t="s">
        <v>381</v>
      </c>
      <c r="C36" t="s">
        <v>395</v>
      </c>
      <c r="D36">
        <v>0.42509999999999998</v>
      </c>
    </row>
    <row r="37" spans="1:4" hidden="1" x14ac:dyDescent="0.25">
      <c r="A37" t="s">
        <v>159</v>
      </c>
      <c r="B37" t="s">
        <v>387</v>
      </c>
      <c r="C37" t="s">
        <v>42</v>
      </c>
      <c r="D37">
        <v>1</v>
      </c>
    </row>
    <row r="38" spans="1:4" hidden="1" x14ac:dyDescent="0.25">
      <c r="A38" t="s">
        <v>159</v>
      </c>
      <c r="B38" t="s">
        <v>388</v>
      </c>
      <c r="C38" t="s">
        <v>42</v>
      </c>
      <c r="D38">
        <v>1</v>
      </c>
    </row>
    <row r="39" spans="1:4" hidden="1" x14ac:dyDescent="0.25">
      <c r="A39" t="s">
        <v>159</v>
      </c>
      <c r="B39" t="s">
        <v>399</v>
      </c>
      <c r="C39" t="s">
        <v>42</v>
      </c>
      <c r="D39">
        <v>1</v>
      </c>
    </row>
    <row r="40" spans="1:4" x14ac:dyDescent="0.25">
      <c r="A40" t="s">
        <v>159</v>
      </c>
      <c r="B40" t="s">
        <v>382</v>
      </c>
      <c r="C40" t="s">
        <v>164</v>
      </c>
      <c r="D40">
        <v>1</v>
      </c>
    </row>
    <row r="41" spans="1:4" hidden="1" x14ac:dyDescent="0.25">
      <c r="A41" t="s">
        <v>159</v>
      </c>
      <c r="B41" s="9" t="s">
        <v>378</v>
      </c>
      <c r="C41" t="s">
        <v>162</v>
      </c>
      <c r="D41">
        <v>1</v>
      </c>
    </row>
    <row r="42" spans="1:4" hidden="1" x14ac:dyDescent="0.25">
      <c r="A42" t="s">
        <v>159</v>
      </c>
      <c r="B42" s="9" t="s">
        <v>377</v>
      </c>
      <c r="C42" t="s">
        <v>161</v>
      </c>
      <c r="D42">
        <v>1</v>
      </c>
    </row>
    <row r="43" spans="1:4" hidden="1" x14ac:dyDescent="0.25">
      <c r="A43" t="s">
        <v>159</v>
      </c>
      <c r="B43" s="9" t="s">
        <v>380</v>
      </c>
      <c r="C43" t="s">
        <v>163</v>
      </c>
      <c r="D43">
        <v>1</v>
      </c>
    </row>
    <row r="44" spans="1:4" hidden="1" x14ac:dyDescent="0.25">
      <c r="A44" t="s">
        <v>159</v>
      </c>
      <c r="B44" s="9" t="s">
        <v>381</v>
      </c>
      <c r="C44" t="s">
        <v>163</v>
      </c>
      <c r="D44">
        <v>1</v>
      </c>
    </row>
    <row r="45" spans="1:4" hidden="1" x14ac:dyDescent="0.25">
      <c r="A45" t="s">
        <v>159</v>
      </c>
      <c r="B45" s="9" t="s">
        <v>376</v>
      </c>
      <c r="C45" t="s">
        <v>160</v>
      </c>
      <c r="D45">
        <v>1</v>
      </c>
    </row>
    <row r="46" spans="1:4" hidden="1" x14ac:dyDescent="0.25">
      <c r="A46" t="s">
        <v>159</v>
      </c>
      <c r="B46" s="9" t="s">
        <v>379</v>
      </c>
      <c r="C46" t="s">
        <v>160</v>
      </c>
      <c r="D46">
        <v>1</v>
      </c>
    </row>
    <row r="47" spans="1:4" hidden="1" x14ac:dyDescent="0.25">
      <c r="A47" t="s">
        <v>159</v>
      </c>
      <c r="B47" t="s">
        <v>389</v>
      </c>
      <c r="C47" t="s">
        <v>167</v>
      </c>
      <c r="D47">
        <v>1</v>
      </c>
    </row>
    <row r="48" spans="1:4" hidden="1" x14ac:dyDescent="0.25">
      <c r="A48" t="s">
        <v>159</v>
      </c>
      <c r="B48" t="s">
        <v>384</v>
      </c>
      <c r="C48" t="s">
        <v>166</v>
      </c>
      <c r="D48">
        <v>1</v>
      </c>
    </row>
    <row r="49" spans="1:4" hidden="1" x14ac:dyDescent="0.25">
      <c r="A49" t="s">
        <v>159</v>
      </c>
      <c r="B49" t="s">
        <v>383</v>
      </c>
      <c r="C49" t="s">
        <v>165</v>
      </c>
      <c r="D49">
        <v>1</v>
      </c>
    </row>
    <row r="50" spans="1:4" hidden="1" x14ac:dyDescent="0.25">
      <c r="A50" t="s">
        <v>159</v>
      </c>
      <c r="B50" s="9" t="s">
        <v>374</v>
      </c>
      <c r="C50" t="s">
        <v>392</v>
      </c>
      <c r="D50">
        <v>1</v>
      </c>
    </row>
    <row r="51" spans="1:4" hidden="1" x14ac:dyDescent="0.25">
      <c r="A51" t="s">
        <v>159</v>
      </c>
      <c r="B51" s="9" t="s">
        <v>370</v>
      </c>
      <c r="C51" t="s">
        <v>613</v>
      </c>
      <c r="D51">
        <v>0.2</v>
      </c>
    </row>
    <row r="52" spans="1:4" hidden="1" x14ac:dyDescent="0.25">
      <c r="A52" t="s">
        <v>159</v>
      </c>
      <c r="B52" s="9" t="s">
        <v>371</v>
      </c>
      <c r="C52" t="s">
        <v>613</v>
      </c>
      <c r="D52">
        <v>0.2</v>
      </c>
    </row>
    <row r="53" spans="1:4" hidden="1" x14ac:dyDescent="0.25">
      <c r="A53" t="s">
        <v>159</v>
      </c>
      <c r="B53" s="9" t="s">
        <v>372</v>
      </c>
      <c r="C53" t="s">
        <v>613</v>
      </c>
      <c r="D53">
        <v>1.9</v>
      </c>
    </row>
    <row r="54" spans="1:4" hidden="1" x14ac:dyDescent="0.25">
      <c r="A54" t="s">
        <v>159</v>
      </c>
      <c r="B54" s="9" t="s">
        <v>373</v>
      </c>
      <c r="C54" t="s">
        <v>613</v>
      </c>
      <c r="D54">
        <v>62.95</v>
      </c>
    </row>
    <row r="55" spans="1:4" hidden="1" x14ac:dyDescent="0.25">
      <c r="A55" t="s">
        <v>159</v>
      </c>
      <c r="B55" s="9" t="s">
        <v>374</v>
      </c>
      <c r="C55" t="s">
        <v>613</v>
      </c>
      <c r="D55">
        <v>4.5</v>
      </c>
    </row>
    <row r="56" spans="1:4" hidden="1" x14ac:dyDescent="0.25">
      <c r="A56" t="s">
        <v>159</v>
      </c>
      <c r="B56" s="9" t="s">
        <v>375</v>
      </c>
      <c r="C56" t="s">
        <v>613</v>
      </c>
      <c r="D56">
        <v>1E-3</v>
      </c>
    </row>
    <row r="57" spans="1:4" hidden="1" x14ac:dyDescent="0.25">
      <c r="A57" t="s">
        <v>159</v>
      </c>
      <c r="B57" s="9" t="s">
        <v>376</v>
      </c>
      <c r="C57" t="s">
        <v>613</v>
      </c>
      <c r="D57">
        <v>1.375</v>
      </c>
    </row>
    <row r="58" spans="1:4" hidden="1" x14ac:dyDescent="0.25">
      <c r="A58" t="s">
        <v>159</v>
      </c>
      <c r="B58" s="9" t="s">
        <v>377</v>
      </c>
      <c r="C58" t="s">
        <v>613</v>
      </c>
      <c r="D58">
        <v>8.1359999999999992</v>
      </c>
    </row>
    <row r="59" spans="1:4" hidden="1" x14ac:dyDescent="0.25">
      <c r="A59" t="s">
        <v>159</v>
      </c>
      <c r="B59" s="9" t="s">
        <v>378</v>
      </c>
      <c r="C59" t="s">
        <v>613</v>
      </c>
      <c r="D59">
        <v>2.3199999999999998</v>
      </c>
    </row>
    <row r="60" spans="1:4" hidden="1" x14ac:dyDescent="0.25">
      <c r="A60" t="s">
        <v>159</v>
      </c>
      <c r="B60" s="9" t="s">
        <v>379</v>
      </c>
      <c r="C60" t="s">
        <v>613</v>
      </c>
      <c r="D60">
        <v>3.9060000000000001</v>
      </c>
    </row>
    <row r="61" spans="1:4" hidden="1" x14ac:dyDescent="0.25">
      <c r="A61" t="s">
        <v>159</v>
      </c>
      <c r="B61" s="9" t="s">
        <v>380</v>
      </c>
      <c r="C61" t="s">
        <v>613</v>
      </c>
      <c r="D61">
        <v>3.899</v>
      </c>
    </row>
    <row r="62" spans="1:4" hidden="1" x14ac:dyDescent="0.25">
      <c r="A62" t="s">
        <v>159</v>
      </c>
      <c r="B62" s="9" t="s">
        <v>381</v>
      </c>
      <c r="C62" t="s">
        <v>613</v>
      </c>
      <c r="D62">
        <v>3.899</v>
      </c>
    </row>
    <row r="63" spans="1:4" x14ac:dyDescent="0.25">
      <c r="A63" t="s">
        <v>159</v>
      </c>
      <c r="B63" t="s">
        <v>382</v>
      </c>
      <c r="C63" t="s">
        <v>613</v>
      </c>
      <c r="D63">
        <v>1.23</v>
      </c>
    </row>
    <row r="64" spans="1:4" hidden="1" x14ac:dyDescent="0.25">
      <c r="A64" t="s">
        <v>159</v>
      </c>
      <c r="B64" t="s">
        <v>383</v>
      </c>
      <c r="C64" t="s">
        <v>613</v>
      </c>
      <c r="D64">
        <v>2.5499999999999998</v>
      </c>
    </row>
    <row r="65" spans="1:4" hidden="1" x14ac:dyDescent="0.25">
      <c r="A65" t="s">
        <v>159</v>
      </c>
      <c r="B65" t="s">
        <v>384</v>
      </c>
      <c r="C65" t="s">
        <v>613</v>
      </c>
      <c r="D65">
        <v>15.39</v>
      </c>
    </row>
    <row r="66" spans="1:4" hidden="1" x14ac:dyDescent="0.25">
      <c r="A66" t="s">
        <v>159</v>
      </c>
      <c r="B66" t="s">
        <v>385</v>
      </c>
      <c r="C66" t="s">
        <v>613</v>
      </c>
      <c r="D66">
        <v>0.4</v>
      </c>
    </row>
    <row r="67" spans="1:4" hidden="1" x14ac:dyDescent="0.25">
      <c r="A67" t="s">
        <v>159</v>
      </c>
      <c r="B67" t="s">
        <v>386</v>
      </c>
      <c r="C67" t="s">
        <v>613</v>
      </c>
      <c r="D67">
        <v>0.1</v>
      </c>
    </row>
    <row r="68" spans="1:4" hidden="1" x14ac:dyDescent="0.25">
      <c r="A68" t="s">
        <v>159</v>
      </c>
      <c r="B68" t="s">
        <v>387</v>
      </c>
      <c r="C68" t="s">
        <v>613</v>
      </c>
      <c r="D68">
        <v>1.1200000000000001</v>
      </c>
    </row>
    <row r="69" spans="1:4" hidden="1" x14ac:dyDescent="0.25">
      <c r="A69" t="s">
        <v>159</v>
      </c>
      <c r="B69" t="s">
        <v>388</v>
      </c>
      <c r="C69" t="s">
        <v>613</v>
      </c>
      <c r="D69">
        <v>1.1200000000000001</v>
      </c>
    </row>
    <row r="70" spans="1:4" hidden="1" x14ac:dyDescent="0.25">
      <c r="A70" t="s">
        <v>159</v>
      </c>
      <c r="B70" t="s">
        <v>389</v>
      </c>
      <c r="C70" t="s">
        <v>613</v>
      </c>
      <c r="D70">
        <v>2</v>
      </c>
    </row>
    <row r="71" spans="1:4" hidden="1" x14ac:dyDescent="0.25">
      <c r="A71" t="s">
        <v>159</v>
      </c>
      <c r="B71" t="s">
        <v>390</v>
      </c>
      <c r="C71" t="s">
        <v>613</v>
      </c>
      <c r="D71">
        <v>2.9359999999999999</v>
      </c>
    </row>
    <row r="72" spans="1:4" hidden="1" x14ac:dyDescent="0.25">
      <c r="A72" t="s">
        <v>159</v>
      </c>
      <c r="B72" t="s">
        <v>391</v>
      </c>
      <c r="C72" t="s">
        <v>613</v>
      </c>
      <c r="D72">
        <v>1.5</v>
      </c>
    </row>
    <row r="73" spans="1:4" hidden="1" x14ac:dyDescent="0.25">
      <c r="A73" t="s">
        <v>159</v>
      </c>
      <c r="B73" t="s">
        <v>385</v>
      </c>
      <c r="C73" t="s">
        <v>267</v>
      </c>
      <c r="D73">
        <v>1</v>
      </c>
    </row>
    <row r="74" spans="1:4" hidden="1" x14ac:dyDescent="0.25">
      <c r="A74" t="s">
        <v>159</v>
      </c>
      <c r="B74" s="9" t="s">
        <v>373</v>
      </c>
      <c r="C74" t="s">
        <v>393</v>
      </c>
      <c r="D74">
        <v>-1</v>
      </c>
    </row>
    <row r="75" spans="1:4" hidden="1" x14ac:dyDescent="0.25">
      <c r="A75" t="s">
        <v>159</v>
      </c>
      <c r="B75" t="s">
        <v>384</v>
      </c>
      <c r="C75" t="s">
        <v>277</v>
      </c>
      <c r="D75">
        <v>-1</v>
      </c>
    </row>
    <row r="76" spans="1:4" hidden="1" x14ac:dyDescent="0.25">
      <c r="A76" t="s">
        <v>159</v>
      </c>
      <c r="B76" t="s">
        <v>383</v>
      </c>
      <c r="C76" t="s">
        <v>276</v>
      </c>
      <c r="D76">
        <v>-1</v>
      </c>
    </row>
    <row r="77" spans="1:4" hidden="1" x14ac:dyDescent="0.25">
      <c r="A77" t="s">
        <v>159</v>
      </c>
      <c r="B77" s="9" t="s">
        <v>374</v>
      </c>
      <c r="C77" t="s">
        <v>38</v>
      </c>
      <c r="D77">
        <v>1</v>
      </c>
    </row>
    <row r="78" spans="1:4" hidden="1" x14ac:dyDescent="0.25">
      <c r="A78" t="s">
        <v>159</v>
      </c>
      <c r="B78" s="9" t="s">
        <v>374</v>
      </c>
      <c r="C78" t="s">
        <v>177</v>
      </c>
      <c r="D78">
        <v>-1</v>
      </c>
    </row>
    <row r="79" spans="1:4" hidden="1" x14ac:dyDescent="0.25">
      <c r="A79" t="s">
        <v>159</v>
      </c>
      <c r="B79" s="9" t="s">
        <v>373</v>
      </c>
      <c r="C79" t="s">
        <v>267</v>
      </c>
      <c r="D79">
        <v>17.5</v>
      </c>
    </row>
    <row r="80" spans="1:4" hidden="1" x14ac:dyDescent="0.25">
      <c r="A80" t="s">
        <v>159</v>
      </c>
      <c r="B80" t="s">
        <v>386</v>
      </c>
      <c r="C80" t="s">
        <v>398</v>
      </c>
      <c r="D80">
        <v>-1</v>
      </c>
    </row>
    <row r="81" spans="1:4" hidden="1" x14ac:dyDescent="0.25">
      <c r="A81" t="s">
        <v>159</v>
      </c>
      <c r="B81" t="s">
        <v>391</v>
      </c>
      <c r="C81" t="s">
        <v>182</v>
      </c>
      <c r="D81">
        <v>-1</v>
      </c>
    </row>
    <row r="82" spans="1:4" hidden="1" x14ac:dyDescent="0.25">
      <c r="A82" t="s">
        <v>159</v>
      </c>
      <c r="B82" t="s">
        <v>387</v>
      </c>
      <c r="C82" t="s">
        <v>78</v>
      </c>
      <c r="D82">
        <v>-0.56000000000000005</v>
      </c>
    </row>
    <row r="83" spans="1:4" hidden="1" x14ac:dyDescent="0.25">
      <c r="A83" t="s">
        <v>159</v>
      </c>
      <c r="B83" t="s">
        <v>391</v>
      </c>
      <c r="C83" t="s">
        <v>78</v>
      </c>
      <c r="D83">
        <v>1</v>
      </c>
    </row>
    <row r="84" spans="1:4" hidden="1" x14ac:dyDescent="0.25">
      <c r="A84" t="s">
        <v>159</v>
      </c>
      <c r="B84" t="s">
        <v>387</v>
      </c>
      <c r="C84" t="s">
        <v>269</v>
      </c>
      <c r="D84">
        <v>-0.41</v>
      </c>
    </row>
    <row r="85" spans="1:4" hidden="1" x14ac:dyDescent="0.25">
      <c r="A85" t="s">
        <v>159</v>
      </c>
      <c r="B85" t="s">
        <v>388</v>
      </c>
      <c r="C85" t="s">
        <v>269</v>
      </c>
      <c r="D85">
        <v>-0.31</v>
      </c>
    </row>
    <row r="86" spans="1:4" hidden="1" x14ac:dyDescent="0.25">
      <c r="A86" t="s">
        <v>159</v>
      </c>
      <c r="B86" t="s">
        <v>388</v>
      </c>
      <c r="C86" t="s">
        <v>311</v>
      </c>
      <c r="D86">
        <v>-0.64</v>
      </c>
    </row>
    <row r="87" spans="1:4" hidden="1" x14ac:dyDescent="0.25">
      <c r="A87" t="s">
        <v>159</v>
      </c>
      <c r="B87" s="9" t="s">
        <v>375</v>
      </c>
      <c r="C87" t="s">
        <v>394</v>
      </c>
      <c r="D87">
        <v>-0.96099999999999997</v>
      </c>
    </row>
    <row r="88" spans="1:4" hidden="1" x14ac:dyDescent="0.25">
      <c r="A88" t="s">
        <v>159</v>
      </c>
      <c r="B88" s="9" t="s">
        <v>376</v>
      </c>
      <c r="C88" t="s">
        <v>394</v>
      </c>
      <c r="D88">
        <v>0.97767999999999999</v>
      </c>
    </row>
    <row r="89" spans="1:4" hidden="1" x14ac:dyDescent="0.25">
      <c r="A89" t="s">
        <v>159</v>
      </c>
      <c r="B89" s="9" t="s">
        <v>377</v>
      </c>
      <c r="C89" t="s">
        <v>394</v>
      </c>
      <c r="D89">
        <v>10.94</v>
      </c>
    </row>
    <row r="90" spans="1:4" hidden="1" x14ac:dyDescent="0.25">
      <c r="A90" t="s">
        <v>159</v>
      </c>
      <c r="B90" s="9" t="s">
        <v>378</v>
      </c>
      <c r="C90" t="s">
        <v>394</v>
      </c>
      <c r="D90">
        <v>1.3556999999999999</v>
      </c>
    </row>
    <row r="91" spans="1:4" hidden="1" x14ac:dyDescent="0.25">
      <c r="A91" t="s">
        <v>159</v>
      </c>
      <c r="B91" s="9" t="s">
        <v>379</v>
      </c>
      <c r="C91" t="s">
        <v>394</v>
      </c>
      <c r="D91">
        <v>0.67771999999999999</v>
      </c>
    </row>
    <row r="92" spans="1:4" hidden="1" x14ac:dyDescent="0.25">
      <c r="A92" t="s">
        <v>159</v>
      </c>
      <c r="B92" s="9" t="s">
        <v>380</v>
      </c>
      <c r="C92" t="s">
        <v>394</v>
      </c>
      <c r="D92">
        <v>10.9</v>
      </c>
    </row>
    <row r="93" spans="1:4" hidden="1" x14ac:dyDescent="0.25">
      <c r="A93" t="s">
        <v>159</v>
      </c>
      <c r="B93" s="9" t="s">
        <v>381</v>
      </c>
      <c r="C93" t="s">
        <v>394</v>
      </c>
      <c r="D93">
        <v>10.4749</v>
      </c>
    </row>
    <row r="94" spans="1:4" x14ac:dyDescent="0.25">
      <c r="A94" t="s">
        <v>159</v>
      </c>
      <c r="B94" t="s">
        <v>382</v>
      </c>
      <c r="C94" t="s">
        <v>62</v>
      </c>
      <c r="D94">
        <v>1</v>
      </c>
    </row>
    <row r="95" spans="1:4" hidden="1" x14ac:dyDescent="0.25">
      <c r="A95" t="s">
        <v>159</v>
      </c>
      <c r="B95" t="s">
        <v>384</v>
      </c>
      <c r="C95" t="s">
        <v>69</v>
      </c>
      <c r="D95">
        <v>1</v>
      </c>
    </row>
    <row r="96" spans="1:4" hidden="1" x14ac:dyDescent="0.25">
      <c r="A96" t="s">
        <v>159</v>
      </c>
      <c r="B96" t="s">
        <v>383</v>
      </c>
      <c r="C96" t="s">
        <v>88</v>
      </c>
      <c r="D96">
        <v>1</v>
      </c>
    </row>
    <row r="97" spans="1:4" hidden="1" x14ac:dyDescent="0.25">
      <c r="A97" t="s">
        <v>159</v>
      </c>
      <c r="B97" t="s">
        <v>390</v>
      </c>
      <c r="C97" t="s">
        <v>44</v>
      </c>
      <c r="D97">
        <v>6.41</v>
      </c>
    </row>
    <row r="98" spans="1:4" hidden="1" x14ac:dyDescent="0.25">
      <c r="A98" t="s">
        <v>159</v>
      </c>
      <c r="B98" t="s">
        <v>390</v>
      </c>
      <c r="C98" t="s">
        <v>270</v>
      </c>
      <c r="D98">
        <v>-1</v>
      </c>
    </row>
  </sheetData>
  <autoFilter ref="A1:D98" xr:uid="{80DF8849-C01F-4A0B-9953-8F8DCF30C6A1}">
    <filterColumn colId="1">
      <filters>
        <filter val="P-BEEF"/>
      </filters>
    </filterColumn>
    <sortState xmlns:xlrd2="http://schemas.microsoft.com/office/spreadsheetml/2017/richdata2" ref="A19:D86">
      <sortCondition ref="C1:C98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044C-CE87-48B9-9743-B9C8F946775A}">
  <dimension ref="A1:D44"/>
  <sheetViews>
    <sheetView workbookViewId="0">
      <selection activeCell="H19" sqref="H19"/>
    </sheetView>
  </sheetViews>
  <sheetFormatPr defaultRowHeight="15" x14ac:dyDescent="0.25"/>
  <sheetData>
    <row r="1" spans="1:4" x14ac:dyDescent="0.25">
      <c r="A1" t="s">
        <v>146</v>
      </c>
      <c r="B1" t="s">
        <v>369</v>
      </c>
      <c r="C1" t="s">
        <v>1</v>
      </c>
      <c r="D1" t="s">
        <v>345</v>
      </c>
    </row>
    <row r="2" spans="1:4" x14ac:dyDescent="0.25">
      <c r="A2" t="s">
        <v>159</v>
      </c>
      <c r="B2" t="s">
        <v>403</v>
      </c>
      <c r="C2" t="s">
        <v>41</v>
      </c>
      <c r="D2">
        <v>1</v>
      </c>
    </row>
    <row r="3" spans="1:4" x14ac:dyDescent="0.25">
      <c r="A3" t="s">
        <v>159</v>
      </c>
      <c r="B3" t="s">
        <v>403</v>
      </c>
      <c r="C3" t="s">
        <v>307</v>
      </c>
      <c r="D3">
        <v>-1</v>
      </c>
    </row>
    <row r="4" spans="1:4" x14ac:dyDescent="0.25">
      <c r="A4" t="s">
        <v>159</v>
      </c>
      <c r="B4" t="s">
        <v>404</v>
      </c>
      <c r="C4" t="s">
        <v>20</v>
      </c>
      <c r="D4">
        <v>1</v>
      </c>
    </row>
    <row r="5" spans="1:4" x14ac:dyDescent="0.25">
      <c r="A5" t="s">
        <v>159</v>
      </c>
      <c r="B5" t="s">
        <v>404</v>
      </c>
      <c r="C5" t="s">
        <v>308</v>
      </c>
      <c r="D5">
        <v>-1</v>
      </c>
    </row>
    <row r="6" spans="1:4" x14ac:dyDescent="0.25">
      <c r="A6" t="s">
        <v>159</v>
      </c>
      <c r="B6" t="s">
        <v>405</v>
      </c>
      <c r="C6" t="s">
        <v>400</v>
      </c>
      <c r="D6">
        <v>1</v>
      </c>
    </row>
    <row r="7" spans="1:4" x14ac:dyDescent="0.25">
      <c r="A7" t="s">
        <v>159</v>
      </c>
      <c r="B7" t="s">
        <v>405</v>
      </c>
      <c r="C7" t="s">
        <v>309</v>
      </c>
      <c r="D7">
        <v>-1</v>
      </c>
    </row>
    <row r="8" spans="1:4" x14ac:dyDescent="0.25">
      <c r="A8" t="s">
        <v>159</v>
      </c>
      <c r="B8" t="s">
        <v>406</v>
      </c>
      <c r="C8" t="s">
        <v>269</v>
      </c>
      <c r="D8">
        <v>1</v>
      </c>
    </row>
    <row r="9" spans="1:4" x14ac:dyDescent="0.25">
      <c r="A9" t="s">
        <v>159</v>
      </c>
      <c r="B9" t="s">
        <v>406</v>
      </c>
      <c r="C9" t="s">
        <v>310</v>
      </c>
      <c r="D9">
        <v>-1</v>
      </c>
    </row>
    <row r="10" spans="1:4" x14ac:dyDescent="0.25">
      <c r="A10" t="s">
        <v>159</v>
      </c>
      <c r="B10" t="s">
        <v>407</v>
      </c>
      <c r="C10" t="s">
        <v>38</v>
      </c>
      <c r="D10">
        <v>1</v>
      </c>
    </row>
    <row r="11" spans="1:4" x14ac:dyDescent="0.25">
      <c r="A11" t="s">
        <v>159</v>
      </c>
      <c r="B11" t="s">
        <v>407</v>
      </c>
      <c r="C11" t="s">
        <v>312</v>
      </c>
      <c r="D11">
        <v>-1</v>
      </c>
    </row>
    <row r="12" spans="1:4" x14ac:dyDescent="0.25">
      <c r="A12" t="s">
        <v>159</v>
      </c>
      <c r="B12" t="s">
        <v>408</v>
      </c>
      <c r="C12" t="s">
        <v>270</v>
      </c>
      <c r="D12">
        <v>1</v>
      </c>
    </row>
    <row r="13" spans="1:4" x14ac:dyDescent="0.25">
      <c r="A13" t="s">
        <v>159</v>
      </c>
      <c r="B13" t="s">
        <v>408</v>
      </c>
      <c r="C13" t="s">
        <v>313</v>
      </c>
      <c r="D13">
        <v>-1</v>
      </c>
    </row>
    <row r="14" spans="1:4" x14ac:dyDescent="0.25">
      <c r="A14" t="s">
        <v>159</v>
      </c>
      <c r="B14" t="s">
        <v>409</v>
      </c>
      <c r="C14" t="s">
        <v>100</v>
      </c>
      <c r="D14">
        <v>1</v>
      </c>
    </row>
    <row r="15" spans="1:4" x14ac:dyDescent="0.25">
      <c r="A15" t="s">
        <v>159</v>
      </c>
      <c r="B15" t="s">
        <v>409</v>
      </c>
      <c r="C15" t="s">
        <v>324</v>
      </c>
      <c r="D15">
        <v>-1</v>
      </c>
    </row>
    <row r="16" spans="1:4" x14ac:dyDescent="0.25">
      <c r="A16" t="s">
        <v>159</v>
      </c>
      <c r="B16" t="s">
        <v>410</v>
      </c>
      <c r="C16" t="s">
        <v>91</v>
      </c>
      <c r="D16">
        <v>1</v>
      </c>
    </row>
    <row r="17" spans="1:4" x14ac:dyDescent="0.25">
      <c r="A17" t="s">
        <v>159</v>
      </c>
      <c r="B17" t="s">
        <v>410</v>
      </c>
      <c r="C17" t="s">
        <v>314</v>
      </c>
      <c r="D17">
        <v>-1</v>
      </c>
    </row>
    <row r="18" spans="1:4" x14ac:dyDescent="0.25">
      <c r="A18" t="s">
        <v>159</v>
      </c>
      <c r="B18" t="s">
        <v>411</v>
      </c>
      <c r="C18" t="s">
        <v>396</v>
      </c>
      <c r="D18">
        <v>1</v>
      </c>
    </row>
    <row r="19" spans="1:4" x14ac:dyDescent="0.25">
      <c r="A19" t="s">
        <v>159</v>
      </c>
      <c r="B19" t="s">
        <v>411</v>
      </c>
      <c r="C19" t="s">
        <v>316</v>
      </c>
      <c r="D19">
        <v>-1</v>
      </c>
    </row>
    <row r="20" spans="1:4" x14ac:dyDescent="0.25">
      <c r="A20" t="s">
        <v>159</v>
      </c>
      <c r="B20" t="s">
        <v>412</v>
      </c>
      <c r="C20" t="s">
        <v>271</v>
      </c>
      <c r="D20">
        <v>1</v>
      </c>
    </row>
    <row r="21" spans="1:4" x14ac:dyDescent="0.25">
      <c r="A21" t="s">
        <v>159</v>
      </c>
      <c r="B21" t="s">
        <v>412</v>
      </c>
      <c r="C21" t="s">
        <v>317</v>
      </c>
      <c r="D21">
        <v>-1</v>
      </c>
    </row>
    <row r="22" spans="1:4" x14ac:dyDescent="0.25">
      <c r="A22" t="s">
        <v>159</v>
      </c>
      <c r="B22" t="s">
        <v>413</v>
      </c>
      <c r="C22" t="s">
        <v>272</v>
      </c>
      <c r="D22">
        <v>1</v>
      </c>
    </row>
    <row r="23" spans="1:4" x14ac:dyDescent="0.25">
      <c r="A23" t="s">
        <v>159</v>
      </c>
      <c r="B23" t="s">
        <v>413</v>
      </c>
      <c r="C23" t="s">
        <v>318</v>
      </c>
      <c r="D23">
        <v>-1</v>
      </c>
    </row>
    <row r="24" spans="1:4" x14ac:dyDescent="0.25">
      <c r="A24" t="s">
        <v>159</v>
      </c>
      <c r="B24" t="s">
        <v>414</v>
      </c>
      <c r="C24" t="s">
        <v>397</v>
      </c>
      <c r="D24">
        <v>1</v>
      </c>
    </row>
    <row r="25" spans="1:4" x14ac:dyDescent="0.25">
      <c r="A25" t="s">
        <v>159</v>
      </c>
      <c r="B25" t="s">
        <v>414</v>
      </c>
      <c r="C25" t="s">
        <v>319</v>
      </c>
      <c r="D25">
        <v>-1</v>
      </c>
    </row>
    <row r="26" spans="1:4" x14ac:dyDescent="0.25">
      <c r="A26" t="s">
        <v>159</v>
      </c>
      <c r="B26" t="s">
        <v>415</v>
      </c>
      <c r="C26" t="s">
        <v>273</v>
      </c>
      <c r="D26">
        <v>0.5</v>
      </c>
    </row>
    <row r="27" spans="1:4" x14ac:dyDescent="0.25">
      <c r="A27" t="s">
        <v>159</v>
      </c>
      <c r="B27" t="s">
        <v>415</v>
      </c>
      <c r="C27" t="s">
        <v>274</v>
      </c>
      <c r="D27">
        <v>0.5</v>
      </c>
    </row>
    <row r="28" spans="1:4" x14ac:dyDescent="0.25">
      <c r="A28" t="s">
        <v>159</v>
      </c>
      <c r="B28" t="s">
        <v>415</v>
      </c>
      <c r="C28" t="s">
        <v>320</v>
      </c>
      <c r="D28">
        <v>-1</v>
      </c>
    </row>
    <row r="29" spans="1:4" x14ac:dyDescent="0.25">
      <c r="A29" t="s">
        <v>159</v>
      </c>
      <c r="B29" t="s">
        <v>416</v>
      </c>
      <c r="C29" t="s">
        <v>278</v>
      </c>
      <c r="D29">
        <v>1</v>
      </c>
    </row>
    <row r="30" spans="1:4" x14ac:dyDescent="0.25">
      <c r="A30" t="s">
        <v>159</v>
      </c>
      <c r="B30" t="s">
        <v>416</v>
      </c>
      <c r="C30" t="s">
        <v>325</v>
      </c>
      <c r="D30">
        <v>-1</v>
      </c>
    </row>
    <row r="31" spans="1:4" x14ac:dyDescent="0.25">
      <c r="A31" t="s">
        <v>159</v>
      </c>
      <c r="B31" t="s">
        <v>417</v>
      </c>
      <c r="C31" t="s">
        <v>279</v>
      </c>
      <c r="D31">
        <v>2</v>
      </c>
    </row>
    <row r="32" spans="1:4" x14ac:dyDescent="0.25">
      <c r="A32" t="s">
        <v>159</v>
      </c>
      <c r="B32" t="s">
        <v>417</v>
      </c>
      <c r="C32" t="s">
        <v>326</v>
      </c>
      <c r="D32">
        <v>-1</v>
      </c>
    </row>
    <row r="33" spans="1:4" x14ac:dyDescent="0.25">
      <c r="A33" t="s">
        <v>159</v>
      </c>
      <c r="B33" t="s">
        <v>418</v>
      </c>
      <c r="C33" t="s">
        <v>275</v>
      </c>
      <c r="D33">
        <v>1</v>
      </c>
    </row>
    <row r="34" spans="1:4" x14ac:dyDescent="0.25">
      <c r="A34" t="s">
        <v>159</v>
      </c>
      <c r="B34" t="s">
        <v>418</v>
      </c>
      <c r="C34" t="s">
        <v>321</v>
      </c>
      <c r="D34">
        <v>-1</v>
      </c>
    </row>
    <row r="35" spans="1:4" x14ac:dyDescent="0.25">
      <c r="A35" t="s">
        <v>159</v>
      </c>
      <c r="B35" t="s">
        <v>419</v>
      </c>
      <c r="C35" t="s">
        <v>276</v>
      </c>
      <c r="D35">
        <v>1</v>
      </c>
    </row>
    <row r="36" spans="1:4" x14ac:dyDescent="0.25">
      <c r="A36" t="s">
        <v>159</v>
      </c>
      <c r="B36" t="s">
        <v>419</v>
      </c>
      <c r="C36" t="s">
        <v>322</v>
      </c>
      <c r="D36">
        <v>-1</v>
      </c>
    </row>
    <row r="37" spans="1:4" x14ac:dyDescent="0.25">
      <c r="A37" t="s">
        <v>159</v>
      </c>
      <c r="B37" t="s">
        <v>420</v>
      </c>
      <c r="C37" t="s">
        <v>277</v>
      </c>
      <c r="D37">
        <v>1</v>
      </c>
    </row>
    <row r="38" spans="1:4" x14ac:dyDescent="0.25">
      <c r="A38" t="s">
        <v>159</v>
      </c>
      <c r="B38" t="s">
        <v>420</v>
      </c>
      <c r="C38" t="s">
        <v>323</v>
      </c>
      <c r="D38">
        <v>-1</v>
      </c>
    </row>
    <row r="39" spans="1:4" x14ac:dyDescent="0.25">
      <c r="A39" t="s">
        <v>159</v>
      </c>
      <c r="B39" t="s">
        <v>421</v>
      </c>
      <c r="C39" t="s">
        <v>280</v>
      </c>
      <c r="D39">
        <v>1</v>
      </c>
    </row>
    <row r="40" spans="1:4" x14ac:dyDescent="0.25">
      <c r="A40" t="s">
        <v>159</v>
      </c>
      <c r="B40" t="s">
        <v>421</v>
      </c>
      <c r="C40" t="s">
        <v>327</v>
      </c>
      <c r="D40">
        <v>-1</v>
      </c>
    </row>
    <row r="41" spans="1:4" x14ac:dyDescent="0.25">
      <c r="A41" t="s">
        <v>159</v>
      </c>
      <c r="B41" t="s">
        <v>422</v>
      </c>
      <c r="C41" t="s">
        <v>281</v>
      </c>
      <c r="D41">
        <v>1</v>
      </c>
    </row>
    <row r="42" spans="1:4" x14ac:dyDescent="0.25">
      <c r="A42" t="s">
        <v>159</v>
      </c>
      <c r="B42" t="s">
        <v>422</v>
      </c>
      <c r="C42" t="s">
        <v>328</v>
      </c>
      <c r="D42">
        <v>-1</v>
      </c>
    </row>
    <row r="43" spans="1:4" x14ac:dyDescent="0.25">
      <c r="A43" t="s">
        <v>159</v>
      </c>
      <c r="B43" t="s">
        <v>423</v>
      </c>
      <c r="C43" t="s">
        <v>424</v>
      </c>
      <c r="D43">
        <v>1</v>
      </c>
    </row>
    <row r="44" spans="1:4" x14ac:dyDescent="0.25">
      <c r="A44" t="s">
        <v>159</v>
      </c>
      <c r="B44" t="s">
        <v>423</v>
      </c>
      <c r="C44" t="s">
        <v>329</v>
      </c>
      <c r="D44">
        <v>-1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BCF6-02CF-4AE3-A766-589E08AF19F2}">
  <dimension ref="A1:D13"/>
  <sheetViews>
    <sheetView workbookViewId="0">
      <selection activeCell="F17" sqref="F17"/>
    </sheetView>
  </sheetViews>
  <sheetFormatPr defaultRowHeight="15" x14ac:dyDescent="0.25"/>
  <sheetData>
    <row r="1" spans="1:4" x14ac:dyDescent="0.25">
      <c r="A1" t="s">
        <v>146</v>
      </c>
      <c r="B1" t="s">
        <v>369</v>
      </c>
      <c r="C1" t="s">
        <v>1</v>
      </c>
      <c r="D1" t="s">
        <v>345</v>
      </c>
    </row>
    <row r="2" spans="1:4" x14ac:dyDescent="0.25">
      <c r="A2" t="s">
        <v>159</v>
      </c>
      <c r="B2" t="s">
        <v>425</v>
      </c>
      <c r="C2" t="s">
        <v>170</v>
      </c>
      <c r="D2">
        <v>1</v>
      </c>
    </row>
    <row r="3" spans="1:4" x14ac:dyDescent="0.25">
      <c r="A3" t="s">
        <v>159</v>
      </c>
      <c r="B3" t="s">
        <v>425</v>
      </c>
      <c r="C3" t="s">
        <v>278</v>
      </c>
      <c r="D3">
        <v>-1</v>
      </c>
    </row>
    <row r="4" spans="1:4" x14ac:dyDescent="0.25">
      <c r="A4" t="s">
        <v>159</v>
      </c>
      <c r="B4" t="s">
        <v>426</v>
      </c>
      <c r="C4" t="s">
        <v>171</v>
      </c>
      <c r="D4">
        <v>1</v>
      </c>
    </row>
    <row r="5" spans="1:4" x14ac:dyDescent="0.25">
      <c r="A5" t="s">
        <v>159</v>
      </c>
      <c r="B5" t="s">
        <v>426</v>
      </c>
      <c r="C5" t="s">
        <v>278</v>
      </c>
      <c r="D5">
        <v>-1</v>
      </c>
    </row>
    <row r="6" spans="1:4" x14ac:dyDescent="0.25">
      <c r="A6" t="s">
        <v>159</v>
      </c>
      <c r="B6" t="s">
        <v>427</v>
      </c>
      <c r="C6" t="s">
        <v>172</v>
      </c>
      <c r="D6">
        <v>1</v>
      </c>
    </row>
    <row r="7" spans="1:4" x14ac:dyDescent="0.25">
      <c r="A7" t="s">
        <v>159</v>
      </c>
      <c r="B7" t="s">
        <v>427</v>
      </c>
      <c r="C7" t="s">
        <v>279</v>
      </c>
      <c r="D7">
        <v>-1</v>
      </c>
    </row>
    <row r="8" spans="1:4" x14ac:dyDescent="0.25">
      <c r="A8" t="s">
        <v>159</v>
      </c>
      <c r="B8" t="s">
        <v>428</v>
      </c>
      <c r="C8" t="s">
        <v>173</v>
      </c>
      <c r="D8">
        <v>1</v>
      </c>
    </row>
    <row r="9" spans="1:4" x14ac:dyDescent="0.25">
      <c r="A9" t="s">
        <v>159</v>
      </c>
      <c r="B9" t="s">
        <v>428</v>
      </c>
      <c r="C9" t="s">
        <v>280</v>
      </c>
      <c r="D9">
        <v>-1</v>
      </c>
    </row>
    <row r="10" spans="1:4" x14ac:dyDescent="0.25">
      <c r="A10" t="s">
        <v>159</v>
      </c>
      <c r="B10" t="s">
        <v>429</v>
      </c>
      <c r="C10" t="s">
        <v>174</v>
      </c>
      <c r="D10">
        <v>1</v>
      </c>
    </row>
    <row r="11" spans="1:4" x14ac:dyDescent="0.25">
      <c r="A11" t="s">
        <v>159</v>
      </c>
      <c r="B11" t="s">
        <v>429</v>
      </c>
      <c r="C11" t="s">
        <v>281</v>
      </c>
      <c r="D11">
        <v>-1</v>
      </c>
    </row>
    <row r="12" spans="1:4" x14ac:dyDescent="0.25">
      <c r="A12" t="s">
        <v>159</v>
      </c>
      <c r="B12" t="s">
        <v>430</v>
      </c>
      <c r="C12" t="s">
        <v>175</v>
      </c>
      <c r="D12">
        <v>1</v>
      </c>
    </row>
    <row r="13" spans="1:4" x14ac:dyDescent="0.25">
      <c r="A13" t="s">
        <v>159</v>
      </c>
      <c r="B13" t="s">
        <v>430</v>
      </c>
      <c r="C13" t="s">
        <v>424</v>
      </c>
      <c r="D13">
        <v>-1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A6323-FA6A-47F1-8FD7-71097682A301}">
  <dimension ref="A1:C183"/>
  <sheetViews>
    <sheetView workbookViewId="0">
      <selection sqref="A1:C1"/>
    </sheetView>
  </sheetViews>
  <sheetFormatPr defaultRowHeight="15" x14ac:dyDescent="0.25"/>
  <cols>
    <col min="1" max="1" width="11.7109375" bestFit="1" customWidth="1"/>
    <col min="2" max="2" width="12.5703125" bestFit="1" customWidth="1"/>
  </cols>
  <sheetData>
    <row r="1" spans="1:3" x14ac:dyDescent="0.25">
      <c r="A1" t="s">
        <v>0</v>
      </c>
      <c r="B1" t="s">
        <v>1</v>
      </c>
      <c r="C1" t="s">
        <v>345</v>
      </c>
    </row>
    <row r="2" spans="1:3" x14ac:dyDescent="0.25">
      <c r="A2" t="s">
        <v>74</v>
      </c>
      <c r="B2" t="s">
        <v>23</v>
      </c>
      <c r="C2">
        <v>-2.5999999999999999E-2</v>
      </c>
    </row>
    <row r="3" spans="1:3" x14ac:dyDescent="0.25">
      <c r="A3" t="s">
        <v>74</v>
      </c>
      <c r="B3" t="s">
        <v>180</v>
      </c>
      <c r="C3">
        <v>-1.4999999999999999E-2</v>
      </c>
    </row>
    <row r="4" spans="1:3" x14ac:dyDescent="0.25">
      <c r="A4" t="s">
        <v>74</v>
      </c>
      <c r="B4" t="s">
        <v>181</v>
      </c>
      <c r="C4">
        <v>-0.114</v>
      </c>
    </row>
    <row r="5" spans="1:3" x14ac:dyDescent="0.25">
      <c r="A5" t="s">
        <v>74</v>
      </c>
      <c r="B5" t="s">
        <v>348</v>
      </c>
    </row>
    <row r="6" spans="1:3" x14ac:dyDescent="0.25">
      <c r="A6" t="s">
        <v>74</v>
      </c>
      <c r="B6" t="s">
        <v>349</v>
      </c>
    </row>
    <row r="7" spans="1:3" x14ac:dyDescent="0.25">
      <c r="A7" t="s">
        <v>74</v>
      </c>
      <c r="B7" t="s">
        <v>350</v>
      </c>
    </row>
    <row r="8" spans="1:3" x14ac:dyDescent="0.25">
      <c r="A8" t="s">
        <v>74</v>
      </c>
      <c r="B8" t="s">
        <v>24</v>
      </c>
      <c r="C8">
        <v>0.48799999999999999</v>
      </c>
    </row>
    <row r="9" spans="1:3" x14ac:dyDescent="0.25">
      <c r="A9" t="s">
        <v>83</v>
      </c>
      <c r="B9" t="s">
        <v>23</v>
      </c>
      <c r="C9">
        <v>-2.5999999999999999E-2</v>
      </c>
    </row>
    <row r="10" spans="1:3" x14ac:dyDescent="0.25">
      <c r="A10" t="s">
        <v>83</v>
      </c>
      <c r="B10" t="s">
        <v>180</v>
      </c>
      <c r="C10">
        <v>-1.4999999999999999E-2</v>
      </c>
    </row>
    <row r="11" spans="1:3" x14ac:dyDescent="0.25">
      <c r="A11" t="s">
        <v>83</v>
      </c>
      <c r="B11" t="s">
        <v>181</v>
      </c>
      <c r="C11">
        <v>-0.114</v>
      </c>
    </row>
    <row r="12" spans="1:3" x14ac:dyDescent="0.25">
      <c r="A12" t="s">
        <v>83</v>
      </c>
      <c r="B12" t="s">
        <v>348</v>
      </c>
    </row>
    <row r="13" spans="1:3" x14ac:dyDescent="0.25">
      <c r="A13" t="s">
        <v>83</v>
      </c>
      <c r="B13" t="s">
        <v>349</v>
      </c>
    </row>
    <row r="14" spans="1:3" x14ac:dyDescent="0.25">
      <c r="A14" t="s">
        <v>83</v>
      </c>
      <c r="B14" t="s">
        <v>350</v>
      </c>
    </row>
    <row r="15" spans="1:3" x14ac:dyDescent="0.25">
      <c r="A15" t="s">
        <v>83</v>
      </c>
      <c r="B15" t="s">
        <v>24</v>
      </c>
      <c r="C15">
        <v>0.48799999999999999</v>
      </c>
    </row>
    <row r="16" spans="1:3" x14ac:dyDescent="0.25">
      <c r="A16" t="s">
        <v>85</v>
      </c>
      <c r="B16" t="s">
        <v>23</v>
      </c>
      <c r="C16">
        <v>-2.5999999999999999E-2</v>
      </c>
    </row>
    <row r="17" spans="1:3" x14ac:dyDescent="0.25">
      <c r="A17" t="s">
        <v>85</v>
      </c>
      <c r="B17" t="s">
        <v>180</v>
      </c>
      <c r="C17">
        <v>-1.4999999999999999E-2</v>
      </c>
    </row>
    <row r="18" spans="1:3" x14ac:dyDescent="0.25">
      <c r="A18" t="s">
        <v>85</v>
      </c>
      <c r="B18" t="s">
        <v>181</v>
      </c>
      <c r="C18">
        <v>-0.114</v>
      </c>
    </row>
    <row r="19" spans="1:3" x14ac:dyDescent="0.25">
      <c r="A19" t="s">
        <v>85</v>
      </c>
      <c r="B19" t="s">
        <v>348</v>
      </c>
    </row>
    <row r="20" spans="1:3" x14ac:dyDescent="0.25">
      <c r="A20" t="s">
        <v>85</v>
      </c>
      <c r="B20" t="s">
        <v>349</v>
      </c>
    </row>
    <row r="21" spans="1:3" x14ac:dyDescent="0.25">
      <c r="A21" t="s">
        <v>85</v>
      </c>
      <c r="B21" t="s">
        <v>350</v>
      </c>
    </row>
    <row r="22" spans="1:3" x14ac:dyDescent="0.25">
      <c r="A22" t="s">
        <v>85</v>
      </c>
      <c r="B22" t="s">
        <v>24</v>
      </c>
      <c r="C22">
        <v>0.48799999999999999</v>
      </c>
    </row>
    <row r="23" spans="1:3" x14ac:dyDescent="0.25">
      <c r="A23" t="s">
        <v>86</v>
      </c>
      <c r="B23" t="s">
        <v>23</v>
      </c>
      <c r="C23">
        <v>-2.5999999999999999E-2</v>
      </c>
    </row>
    <row r="24" spans="1:3" x14ac:dyDescent="0.25">
      <c r="A24" t="s">
        <v>86</v>
      </c>
      <c r="B24" t="s">
        <v>180</v>
      </c>
      <c r="C24">
        <v>-1.4999999999999999E-2</v>
      </c>
    </row>
    <row r="25" spans="1:3" x14ac:dyDescent="0.25">
      <c r="A25" t="s">
        <v>86</v>
      </c>
      <c r="B25" t="s">
        <v>181</v>
      </c>
      <c r="C25">
        <v>-0.114</v>
      </c>
    </row>
    <row r="26" spans="1:3" x14ac:dyDescent="0.25">
      <c r="A26" t="s">
        <v>86</v>
      </c>
      <c r="B26" t="s">
        <v>348</v>
      </c>
    </row>
    <row r="27" spans="1:3" x14ac:dyDescent="0.25">
      <c r="A27" t="s">
        <v>86</v>
      </c>
      <c r="B27" t="s">
        <v>349</v>
      </c>
    </row>
    <row r="28" spans="1:3" x14ac:dyDescent="0.25">
      <c r="A28" t="s">
        <v>86</v>
      </c>
      <c r="B28" t="s">
        <v>350</v>
      </c>
    </row>
    <row r="29" spans="1:3" x14ac:dyDescent="0.25">
      <c r="A29" t="s">
        <v>86</v>
      </c>
      <c r="B29" t="s">
        <v>24</v>
      </c>
      <c r="C29">
        <v>0.48799999999999999</v>
      </c>
    </row>
    <row r="30" spans="1:3" x14ac:dyDescent="0.25">
      <c r="A30" t="s">
        <v>97</v>
      </c>
      <c r="B30" t="s">
        <v>23</v>
      </c>
      <c r="C30">
        <v>-1.4E-2</v>
      </c>
    </row>
    <row r="31" spans="1:3" x14ac:dyDescent="0.25">
      <c r="A31" t="s">
        <v>97</v>
      </c>
      <c r="B31" t="s">
        <v>180</v>
      </c>
      <c r="C31">
        <v>-1.0999999999999999E-2</v>
      </c>
    </row>
    <row r="32" spans="1:3" x14ac:dyDescent="0.25">
      <c r="A32" t="s">
        <v>97</v>
      </c>
      <c r="B32" t="s">
        <v>181</v>
      </c>
      <c r="C32">
        <v>-0.08</v>
      </c>
    </row>
    <row r="33" spans="1:3" x14ac:dyDescent="0.25">
      <c r="A33" t="s">
        <v>97</v>
      </c>
      <c r="B33" t="s">
        <v>348</v>
      </c>
    </row>
    <row r="34" spans="1:3" x14ac:dyDescent="0.25">
      <c r="A34" t="s">
        <v>97</v>
      </c>
      <c r="B34" t="s">
        <v>349</v>
      </c>
    </row>
    <row r="35" spans="1:3" x14ac:dyDescent="0.25">
      <c r="A35" t="s">
        <v>97</v>
      </c>
      <c r="B35" t="s">
        <v>350</v>
      </c>
    </row>
    <row r="36" spans="1:3" x14ac:dyDescent="0.25">
      <c r="A36" t="s">
        <v>97</v>
      </c>
      <c r="B36" t="s">
        <v>24</v>
      </c>
      <c r="C36">
        <v>0.52</v>
      </c>
    </row>
    <row r="37" spans="1:3" x14ac:dyDescent="0.25">
      <c r="A37" t="s">
        <v>71</v>
      </c>
      <c r="B37" t="s">
        <v>23</v>
      </c>
      <c r="C37">
        <v>-1.0999999999999999E-2</v>
      </c>
    </row>
    <row r="38" spans="1:3" x14ac:dyDescent="0.25">
      <c r="A38" t="s">
        <v>71</v>
      </c>
      <c r="B38" t="s">
        <v>180</v>
      </c>
      <c r="C38">
        <v>-8.9999999999999993E-3</v>
      </c>
    </row>
    <row r="39" spans="1:3" x14ac:dyDescent="0.25">
      <c r="A39" t="s">
        <v>71</v>
      </c>
      <c r="B39" t="s">
        <v>181</v>
      </c>
      <c r="C39">
        <v>-0.05</v>
      </c>
    </row>
    <row r="40" spans="1:3" x14ac:dyDescent="0.25">
      <c r="A40" t="s">
        <v>71</v>
      </c>
      <c r="B40" t="s">
        <v>348</v>
      </c>
    </row>
    <row r="41" spans="1:3" x14ac:dyDescent="0.25">
      <c r="A41" t="s">
        <v>71</v>
      </c>
      <c r="B41" t="s">
        <v>349</v>
      </c>
    </row>
    <row r="42" spans="1:3" x14ac:dyDescent="0.25">
      <c r="A42" t="s">
        <v>71</v>
      </c>
      <c r="B42" t="s">
        <v>350</v>
      </c>
    </row>
    <row r="43" spans="1:3" x14ac:dyDescent="0.25">
      <c r="A43" t="s">
        <v>71</v>
      </c>
      <c r="B43" t="s">
        <v>24</v>
      </c>
      <c r="C43">
        <v>0.52</v>
      </c>
    </row>
    <row r="44" spans="1:3" x14ac:dyDescent="0.25">
      <c r="A44" t="s">
        <v>73</v>
      </c>
      <c r="B44" t="s">
        <v>23</v>
      </c>
      <c r="C44">
        <v>-1.4E-2</v>
      </c>
    </row>
    <row r="45" spans="1:3" x14ac:dyDescent="0.25">
      <c r="A45" t="s">
        <v>73</v>
      </c>
      <c r="B45" t="s">
        <v>180</v>
      </c>
      <c r="C45">
        <v>-1.0999999999999999E-2</v>
      </c>
    </row>
    <row r="46" spans="1:3" x14ac:dyDescent="0.25">
      <c r="A46" t="s">
        <v>73</v>
      </c>
      <c r="B46" t="s">
        <v>181</v>
      </c>
      <c r="C46">
        <v>-0.08</v>
      </c>
    </row>
    <row r="47" spans="1:3" x14ac:dyDescent="0.25">
      <c r="A47" t="s">
        <v>73</v>
      </c>
      <c r="B47" t="s">
        <v>348</v>
      </c>
    </row>
    <row r="48" spans="1:3" x14ac:dyDescent="0.25">
      <c r="A48" t="s">
        <v>73</v>
      </c>
      <c r="B48" t="s">
        <v>349</v>
      </c>
    </row>
    <row r="49" spans="1:3" x14ac:dyDescent="0.25">
      <c r="A49" t="s">
        <v>73</v>
      </c>
      <c r="B49" t="s">
        <v>350</v>
      </c>
    </row>
    <row r="50" spans="1:3" x14ac:dyDescent="0.25">
      <c r="A50" t="s">
        <v>73</v>
      </c>
      <c r="B50" t="s">
        <v>24</v>
      </c>
      <c r="C50">
        <v>0.52</v>
      </c>
    </row>
    <row r="51" spans="1:3" x14ac:dyDescent="0.25">
      <c r="A51" t="s">
        <v>351</v>
      </c>
      <c r="B51" t="s">
        <v>23</v>
      </c>
      <c r="C51">
        <v>-1.4E-2</v>
      </c>
    </row>
    <row r="52" spans="1:3" x14ac:dyDescent="0.25">
      <c r="A52" t="s">
        <v>351</v>
      </c>
      <c r="B52" t="s">
        <v>180</v>
      </c>
      <c r="C52">
        <v>-1.0999999999999999E-2</v>
      </c>
    </row>
    <row r="53" spans="1:3" x14ac:dyDescent="0.25">
      <c r="A53" t="s">
        <v>351</v>
      </c>
      <c r="B53" t="s">
        <v>181</v>
      </c>
      <c r="C53">
        <v>-0.08</v>
      </c>
    </row>
    <row r="54" spans="1:3" x14ac:dyDescent="0.25">
      <c r="A54" t="s">
        <v>351</v>
      </c>
      <c r="B54" t="s">
        <v>348</v>
      </c>
    </row>
    <row r="55" spans="1:3" x14ac:dyDescent="0.25">
      <c r="A55" t="s">
        <v>351</v>
      </c>
      <c r="B55" t="s">
        <v>349</v>
      </c>
    </row>
    <row r="56" spans="1:3" x14ac:dyDescent="0.25">
      <c r="A56" t="s">
        <v>351</v>
      </c>
      <c r="B56" t="s">
        <v>350</v>
      </c>
    </row>
    <row r="57" spans="1:3" x14ac:dyDescent="0.25">
      <c r="A57" t="s">
        <v>351</v>
      </c>
      <c r="B57" t="s">
        <v>24</v>
      </c>
      <c r="C57">
        <v>0.52</v>
      </c>
    </row>
    <row r="58" spans="1:3" x14ac:dyDescent="0.25">
      <c r="A58" t="s">
        <v>61</v>
      </c>
      <c r="B58" t="s">
        <v>23</v>
      </c>
      <c r="C58">
        <v>-1.2999999999999999E-2</v>
      </c>
    </row>
    <row r="59" spans="1:3" x14ac:dyDescent="0.25">
      <c r="A59" t="s">
        <v>61</v>
      </c>
      <c r="B59" t="s">
        <v>180</v>
      </c>
      <c r="C59">
        <v>-1.4E-2</v>
      </c>
    </row>
    <row r="60" spans="1:3" x14ac:dyDescent="0.25">
      <c r="A60" t="s">
        <v>61</v>
      </c>
      <c r="B60" t="s">
        <v>181</v>
      </c>
      <c r="C60">
        <v>-9.1999999999999998E-2</v>
      </c>
    </row>
    <row r="61" spans="1:3" x14ac:dyDescent="0.25">
      <c r="A61" t="s">
        <v>61</v>
      </c>
      <c r="B61" t="s">
        <v>348</v>
      </c>
    </row>
    <row r="62" spans="1:3" x14ac:dyDescent="0.25">
      <c r="A62" t="s">
        <v>61</v>
      </c>
      <c r="B62" t="s">
        <v>349</v>
      </c>
    </row>
    <row r="63" spans="1:3" x14ac:dyDescent="0.25">
      <c r="A63" t="s">
        <v>61</v>
      </c>
      <c r="B63" t="s">
        <v>350</v>
      </c>
    </row>
    <row r="64" spans="1:3" x14ac:dyDescent="0.25">
      <c r="A64" t="s">
        <v>61</v>
      </c>
      <c r="B64" t="s">
        <v>24</v>
      </c>
      <c r="C64">
        <v>0.313</v>
      </c>
    </row>
    <row r="65" spans="1:3" x14ac:dyDescent="0.25">
      <c r="A65" t="s">
        <v>99</v>
      </c>
      <c r="B65" t="s">
        <v>23</v>
      </c>
      <c r="C65">
        <v>-1E-3</v>
      </c>
    </row>
    <row r="66" spans="1:3" x14ac:dyDescent="0.25">
      <c r="A66" t="s">
        <v>99</v>
      </c>
      <c r="B66" t="s">
        <v>180</v>
      </c>
      <c r="C66">
        <v>-2E-3</v>
      </c>
    </row>
    <row r="67" spans="1:3" x14ac:dyDescent="0.25">
      <c r="A67" t="s">
        <v>99</v>
      </c>
      <c r="B67" t="s">
        <v>181</v>
      </c>
      <c r="C67">
        <v>-1.9E-2</v>
      </c>
    </row>
    <row r="68" spans="1:3" x14ac:dyDescent="0.25">
      <c r="A68" t="s">
        <v>99</v>
      </c>
      <c r="B68" t="s">
        <v>348</v>
      </c>
    </row>
    <row r="69" spans="1:3" x14ac:dyDescent="0.25">
      <c r="A69" t="s">
        <v>99</v>
      </c>
      <c r="B69" t="s">
        <v>349</v>
      </c>
    </row>
    <row r="70" spans="1:3" x14ac:dyDescent="0.25">
      <c r="A70" t="s">
        <v>99</v>
      </c>
      <c r="B70" t="s">
        <v>350</v>
      </c>
    </row>
    <row r="71" spans="1:3" x14ac:dyDescent="0.25">
      <c r="A71" t="s">
        <v>99</v>
      </c>
      <c r="B71" t="s">
        <v>24</v>
      </c>
      <c r="C71">
        <v>3.2000000000000001E-2</v>
      </c>
    </row>
    <row r="72" spans="1:3" x14ac:dyDescent="0.25">
      <c r="A72" t="s">
        <v>105</v>
      </c>
      <c r="B72" t="s">
        <v>23</v>
      </c>
      <c r="C72">
        <v>-2.5000000000000001E-2</v>
      </c>
    </row>
    <row r="73" spans="1:3" x14ac:dyDescent="0.25">
      <c r="A73" t="s">
        <v>105</v>
      </c>
      <c r="B73" t="s">
        <v>180</v>
      </c>
      <c r="C73">
        <v>-6.7000000000000002E-3</v>
      </c>
    </row>
    <row r="74" spans="1:3" x14ac:dyDescent="0.25">
      <c r="A74" t="s">
        <v>105</v>
      </c>
      <c r="B74" t="s">
        <v>181</v>
      </c>
      <c r="C74">
        <v>-1.2999999999999999E-2</v>
      </c>
    </row>
    <row r="75" spans="1:3" x14ac:dyDescent="0.25">
      <c r="A75" t="s">
        <v>105</v>
      </c>
      <c r="B75" t="s">
        <v>348</v>
      </c>
    </row>
    <row r="76" spans="1:3" x14ac:dyDescent="0.25">
      <c r="A76" t="s">
        <v>105</v>
      </c>
      <c r="B76" t="s">
        <v>349</v>
      </c>
    </row>
    <row r="77" spans="1:3" x14ac:dyDescent="0.25">
      <c r="A77" t="s">
        <v>105</v>
      </c>
      <c r="B77" t="s">
        <v>350</v>
      </c>
    </row>
    <row r="78" spans="1:3" x14ac:dyDescent="0.25">
      <c r="A78" t="s">
        <v>105</v>
      </c>
      <c r="B78" t="s">
        <v>24</v>
      </c>
      <c r="C78">
        <v>0.5</v>
      </c>
    </row>
    <row r="79" spans="1:3" x14ac:dyDescent="0.25">
      <c r="A79" t="s">
        <v>103</v>
      </c>
      <c r="B79" t="s">
        <v>23</v>
      </c>
      <c r="C79">
        <v>-2.3E-3</v>
      </c>
    </row>
    <row r="80" spans="1:3" x14ac:dyDescent="0.25">
      <c r="A80" t="s">
        <v>103</v>
      </c>
      <c r="B80" t="s">
        <v>180</v>
      </c>
      <c r="C80">
        <v>-5.0000000000000001E-4</v>
      </c>
    </row>
    <row r="81" spans="1:3" x14ac:dyDescent="0.25">
      <c r="A81" t="s">
        <v>103</v>
      </c>
      <c r="B81" t="s">
        <v>181</v>
      </c>
      <c r="C81">
        <v>-1.2999999999999999E-3</v>
      </c>
    </row>
    <row r="82" spans="1:3" x14ac:dyDescent="0.25">
      <c r="A82" t="s">
        <v>103</v>
      </c>
      <c r="B82" t="s">
        <v>348</v>
      </c>
    </row>
    <row r="83" spans="1:3" x14ac:dyDescent="0.25">
      <c r="A83" t="s">
        <v>103</v>
      </c>
      <c r="B83" t="s">
        <v>349</v>
      </c>
    </row>
    <row r="84" spans="1:3" x14ac:dyDescent="0.25">
      <c r="A84" t="s">
        <v>103</v>
      </c>
      <c r="B84" t="s">
        <v>350</v>
      </c>
    </row>
    <row r="85" spans="1:3" x14ac:dyDescent="0.25">
      <c r="A85" t="s">
        <v>103</v>
      </c>
      <c r="B85" t="s">
        <v>24</v>
      </c>
      <c r="C85">
        <v>0.05</v>
      </c>
    </row>
    <row r="86" spans="1:3" x14ac:dyDescent="0.25">
      <c r="A86" t="s">
        <v>98</v>
      </c>
      <c r="B86" t="s">
        <v>23</v>
      </c>
      <c r="C86">
        <v>-0.14000000000000001</v>
      </c>
    </row>
    <row r="87" spans="1:3" x14ac:dyDescent="0.25">
      <c r="A87" t="s">
        <v>98</v>
      </c>
      <c r="B87" t="s">
        <v>180</v>
      </c>
      <c r="C87">
        <v>-0.13</v>
      </c>
    </row>
    <row r="88" spans="1:3" x14ac:dyDescent="0.25">
      <c r="A88" t="s">
        <v>98</v>
      </c>
      <c r="B88" t="s">
        <v>181</v>
      </c>
      <c r="C88">
        <v>-0.17</v>
      </c>
    </row>
    <row r="89" spans="1:3" x14ac:dyDescent="0.25">
      <c r="A89" t="s">
        <v>98</v>
      </c>
      <c r="B89" t="s">
        <v>348</v>
      </c>
    </row>
    <row r="90" spans="1:3" x14ac:dyDescent="0.25">
      <c r="A90" t="s">
        <v>98</v>
      </c>
      <c r="B90" t="s">
        <v>349</v>
      </c>
    </row>
    <row r="91" spans="1:3" x14ac:dyDescent="0.25">
      <c r="A91" t="s">
        <v>98</v>
      </c>
      <c r="B91" t="s">
        <v>350</v>
      </c>
    </row>
    <row r="92" spans="1:3" x14ac:dyDescent="0.25">
      <c r="A92" t="s">
        <v>98</v>
      </c>
      <c r="B92" t="s">
        <v>24</v>
      </c>
      <c r="C92">
        <v>0.5</v>
      </c>
    </row>
    <row r="93" spans="1:3" x14ac:dyDescent="0.25">
      <c r="A93" t="s">
        <v>68</v>
      </c>
      <c r="B93" t="s">
        <v>23</v>
      </c>
      <c r="C93">
        <v>-0.05</v>
      </c>
    </row>
    <row r="94" spans="1:3" x14ac:dyDescent="0.25">
      <c r="A94" t="s">
        <v>68</v>
      </c>
      <c r="B94" t="s">
        <v>180</v>
      </c>
      <c r="C94">
        <v>-0.04</v>
      </c>
    </row>
    <row r="95" spans="1:3" x14ac:dyDescent="0.25">
      <c r="A95" t="s">
        <v>68</v>
      </c>
      <c r="B95" t="s">
        <v>181</v>
      </c>
      <c r="C95">
        <v>-7.4999999999999997E-2</v>
      </c>
    </row>
    <row r="96" spans="1:3" x14ac:dyDescent="0.25">
      <c r="A96" t="s">
        <v>68</v>
      </c>
      <c r="B96" t="s">
        <v>348</v>
      </c>
    </row>
    <row r="97" spans="1:3" x14ac:dyDescent="0.25">
      <c r="A97" t="s">
        <v>68</v>
      </c>
      <c r="B97" t="s">
        <v>349</v>
      </c>
    </row>
    <row r="98" spans="1:3" x14ac:dyDescent="0.25">
      <c r="A98" t="s">
        <v>68</v>
      </c>
      <c r="B98" t="s">
        <v>350</v>
      </c>
    </row>
    <row r="99" spans="1:3" x14ac:dyDescent="0.25">
      <c r="A99" t="s">
        <v>68</v>
      </c>
      <c r="B99" t="s">
        <v>24</v>
      </c>
      <c r="C99">
        <v>0.5</v>
      </c>
    </row>
    <row r="100" spans="1:3" x14ac:dyDescent="0.25">
      <c r="A100" t="s">
        <v>352</v>
      </c>
      <c r="B100" t="s">
        <v>23</v>
      </c>
      <c r="C100">
        <v>-4.0000000000000001E-3</v>
      </c>
    </row>
    <row r="101" spans="1:3" x14ac:dyDescent="0.25">
      <c r="A101" t="s">
        <v>352</v>
      </c>
      <c r="B101" t="s">
        <v>180</v>
      </c>
      <c r="C101">
        <v>-8.0000000000000002E-3</v>
      </c>
    </row>
    <row r="102" spans="1:3" x14ac:dyDescent="0.25">
      <c r="A102" t="s">
        <v>352</v>
      </c>
      <c r="B102" t="s">
        <v>181</v>
      </c>
      <c r="C102">
        <v>-0.05</v>
      </c>
    </row>
    <row r="103" spans="1:3" x14ac:dyDescent="0.25">
      <c r="A103" t="s">
        <v>352</v>
      </c>
      <c r="B103" t="s">
        <v>348</v>
      </c>
    </row>
    <row r="104" spans="1:3" x14ac:dyDescent="0.25">
      <c r="A104" t="s">
        <v>352</v>
      </c>
      <c r="B104" t="s">
        <v>349</v>
      </c>
    </row>
    <row r="105" spans="1:3" x14ac:dyDescent="0.25">
      <c r="A105" t="s">
        <v>352</v>
      </c>
      <c r="B105" t="s">
        <v>350</v>
      </c>
    </row>
    <row r="106" spans="1:3" x14ac:dyDescent="0.25">
      <c r="A106" t="s">
        <v>352</v>
      </c>
      <c r="B106" t="s">
        <v>24</v>
      </c>
      <c r="C106">
        <v>0.5</v>
      </c>
    </row>
    <row r="107" spans="1:3" x14ac:dyDescent="0.25">
      <c r="A107" t="s">
        <v>353</v>
      </c>
      <c r="B107" t="s">
        <v>23</v>
      </c>
    </row>
    <row r="108" spans="1:3" x14ac:dyDescent="0.25">
      <c r="A108" t="s">
        <v>353</v>
      </c>
      <c r="B108" t="s">
        <v>180</v>
      </c>
    </row>
    <row r="109" spans="1:3" x14ac:dyDescent="0.25">
      <c r="A109" t="s">
        <v>353</v>
      </c>
      <c r="B109" t="s">
        <v>181</v>
      </c>
    </row>
    <row r="110" spans="1:3" x14ac:dyDescent="0.25">
      <c r="A110" t="s">
        <v>353</v>
      </c>
      <c r="B110" t="s">
        <v>348</v>
      </c>
      <c r="C110">
        <v>-2.3E-2</v>
      </c>
    </row>
    <row r="111" spans="1:3" x14ac:dyDescent="0.25">
      <c r="A111" t="s">
        <v>353</v>
      </c>
      <c r="B111" t="s">
        <v>349</v>
      </c>
      <c r="C111">
        <v>-1.4E-2</v>
      </c>
    </row>
    <row r="112" spans="1:3" x14ac:dyDescent="0.25">
      <c r="A112" t="s">
        <v>353</v>
      </c>
      <c r="B112" t="s">
        <v>350</v>
      </c>
      <c r="C112">
        <v>-0.10299999999999999</v>
      </c>
    </row>
    <row r="113" spans="1:3" x14ac:dyDescent="0.25">
      <c r="A113" t="s">
        <v>353</v>
      </c>
      <c r="B113" t="s">
        <v>24</v>
      </c>
      <c r="C113">
        <v>0.44</v>
      </c>
    </row>
    <row r="114" spans="1:3" x14ac:dyDescent="0.25">
      <c r="A114" t="s">
        <v>354</v>
      </c>
      <c r="B114" t="s">
        <v>23</v>
      </c>
    </row>
    <row r="115" spans="1:3" x14ac:dyDescent="0.25">
      <c r="A115" t="s">
        <v>354</v>
      </c>
      <c r="B115" t="s">
        <v>180</v>
      </c>
    </row>
    <row r="116" spans="1:3" x14ac:dyDescent="0.25">
      <c r="A116" t="s">
        <v>354</v>
      </c>
      <c r="B116" t="s">
        <v>181</v>
      </c>
    </row>
    <row r="117" spans="1:3" x14ac:dyDescent="0.25">
      <c r="A117" t="s">
        <v>354</v>
      </c>
      <c r="B117" t="s">
        <v>348</v>
      </c>
      <c r="C117">
        <v>-2.3E-2</v>
      </c>
    </row>
    <row r="118" spans="1:3" x14ac:dyDescent="0.25">
      <c r="A118" t="s">
        <v>354</v>
      </c>
      <c r="B118" t="s">
        <v>349</v>
      </c>
      <c r="C118">
        <v>-1.4E-2</v>
      </c>
    </row>
    <row r="119" spans="1:3" x14ac:dyDescent="0.25">
      <c r="A119" t="s">
        <v>354</v>
      </c>
      <c r="B119" t="s">
        <v>350</v>
      </c>
      <c r="C119">
        <v>-0.10299999999999999</v>
      </c>
    </row>
    <row r="120" spans="1:3" x14ac:dyDescent="0.25">
      <c r="A120" t="s">
        <v>354</v>
      </c>
      <c r="B120" t="s">
        <v>24</v>
      </c>
      <c r="C120">
        <v>0.44</v>
      </c>
    </row>
    <row r="121" spans="1:3" x14ac:dyDescent="0.25">
      <c r="A121" t="s">
        <v>355</v>
      </c>
      <c r="B121" t="s">
        <v>23</v>
      </c>
    </row>
    <row r="122" spans="1:3" x14ac:dyDescent="0.25">
      <c r="A122" t="s">
        <v>355</v>
      </c>
      <c r="B122" t="s">
        <v>180</v>
      </c>
    </row>
    <row r="123" spans="1:3" x14ac:dyDescent="0.25">
      <c r="A123" t="s">
        <v>355</v>
      </c>
      <c r="B123" t="s">
        <v>181</v>
      </c>
    </row>
    <row r="124" spans="1:3" x14ac:dyDescent="0.25">
      <c r="A124" t="s">
        <v>355</v>
      </c>
      <c r="B124" t="s">
        <v>348</v>
      </c>
      <c r="C124">
        <v>-2.3E-2</v>
      </c>
    </row>
    <row r="125" spans="1:3" x14ac:dyDescent="0.25">
      <c r="A125" t="s">
        <v>355</v>
      </c>
      <c r="B125" t="s">
        <v>349</v>
      </c>
      <c r="C125">
        <v>-1.4E-2</v>
      </c>
    </row>
    <row r="126" spans="1:3" x14ac:dyDescent="0.25">
      <c r="A126" t="s">
        <v>355</v>
      </c>
      <c r="B126" t="s">
        <v>350</v>
      </c>
      <c r="C126">
        <v>-0.10299999999999999</v>
      </c>
    </row>
    <row r="127" spans="1:3" x14ac:dyDescent="0.25">
      <c r="A127" t="s">
        <v>355</v>
      </c>
      <c r="B127" t="s">
        <v>24</v>
      </c>
      <c r="C127">
        <v>0.44</v>
      </c>
    </row>
    <row r="128" spans="1:3" x14ac:dyDescent="0.25">
      <c r="A128" t="s">
        <v>356</v>
      </c>
      <c r="B128" t="s">
        <v>23</v>
      </c>
    </row>
    <row r="129" spans="1:3" x14ac:dyDescent="0.25">
      <c r="A129" t="s">
        <v>356</v>
      </c>
      <c r="B129" t="s">
        <v>180</v>
      </c>
    </row>
    <row r="130" spans="1:3" x14ac:dyDescent="0.25">
      <c r="A130" t="s">
        <v>356</v>
      </c>
      <c r="B130" t="s">
        <v>181</v>
      </c>
    </row>
    <row r="131" spans="1:3" x14ac:dyDescent="0.25">
      <c r="A131" t="s">
        <v>356</v>
      </c>
      <c r="B131" t="s">
        <v>348</v>
      </c>
      <c r="C131">
        <v>-1.4E-2</v>
      </c>
    </row>
    <row r="132" spans="1:3" x14ac:dyDescent="0.25">
      <c r="A132" t="s">
        <v>356</v>
      </c>
      <c r="B132" t="s">
        <v>349</v>
      </c>
      <c r="C132">
        <v>-1.0999999999999999E-2</v>
      </c>
    </row>
    <row r="133" spans="1:3" x14ac:dyDescent="0.25">
      <c r="A133" t="s">
        <v>356</v>
      </c>
      <c r="B133" t="s">
        <v>350</v>
      </c>
      <c r="C133">
        <v>-0.08</v>
      </c>
    </row>
    <row r="134" spans="1:3" x14ac:dyDescent="0.25">
      <c r="A134" t="s">
        <v>356</v>
      </c>
      <c r="B134" t="s">
        <v>24</v>
      </c>
      <c r="C134">
        <v>0.52</v>
      </c>
    </row>
    <row r="135" spans="1:3" x14ac:dyDescent="0.25">
      <c r="A135" t="s">
        <v>357</v>
      </c>
      <c r="B135" t="s">
        <v>23</v>
      </c>
    </row>
    <row r="136" spans="1:3" x14ac:dyDescent="0.25">
      <c r="A136" t="s">
        <v>357</v>
      </c>
      <c r="B136" t="s">
        <v>180</v>
      </c>
    </row>
    <row r="137" spans="1:3" x14ac:dyDescent="0.25">
      <c r="A137" t="s">
        <v>357</v>
      </c>
      <c r="B137" t="s">
        <v>181</v>
      </c>
    </row>
    <row r="138" spans="1:3" x14ac:dyDescent="0.25">
      <c r="A138" t="s">
        <v>357</v>
      </c>
      <c r="B138" t="s">
        <v>348</v>
      </c>
      <c r="C138">
        <v>-1.0999999999999999E-2</v>
      </c>
    </row>
    <row r="139" spans="1:3" x14ac:dyDescent="0.25">
      <c r="A139" t="s">
        <v>357</v>
      </c>
      <c r="B139" t="s">
        <v>349</v>
      </c>
      <c r="C139">
        <v>-8.9999999999999993E-3</v>
      </c>
    </row>
    <row r="140" spans="1:3" x14ac:dyDescent="0.25">
      <c r="A140" t="s">
        <v>357</v>
      </c>
      <c r="B140" t="s">
        <v>350</v>
      </c>
      <c r="C140">
        <v>-0.05</v>
      </c>
    </row>
    <row r="141" spans="1:3" x14ac:dyDescent="0.25">
      <c r="A141" t="s">
        <v>357</v>
      </c>
      <c r="B141" t="s">
        <v>24</v>
      </c>
      <c r="C141">
        <v>0.52</v>
      </c>
    </row>
    <row r="142" spans="1:3" x14ac:dyDescent="0.25">
      <c r="A142" t="s">
        <v>358</v>
      </c>
      <c r="B142" t="s">
        <v>23</v>
      </c>
    </row>
    <row r="143" spans="1:3" x14ac:dyDescent="0.25">
      <c r="A143" t="s">
        <v>358</v>
      </c>
      <c r="B143" t="s">
        <v>180</v>
      </c>
    </row>
    <row r="144" spans="1:3" x14ac:dyDescent="0.25">
      <c r="A144" t="s">
        <v>358</v>
      </c>
      <c r="B144" t="s">
        <v>181</v>
      </c>
    </row>
    <row r="145" spans="1:3" x14ac:dyDescent="0.25">
      <c r="A145" t="s">
        <v>358</v>
      </c>
      <c r="B145" t="s">
        <v>348</v>
      </c>
      <c r="C145">
        <v>-1.4E-2</v>
      </c>
    </row>
    <row r="146" spans="1:3" x14ac:dyDescent="0.25">
      <c r="A146" t="s">
        <v>358</v>
      </c>
      <c r="B146" t="s">
        <v>349</v>
      </c>
      <c r="C146">
        <v>-1.0999999999999999E-2</v>
      </c>
    </row>
    <row r="147" spans="1:3" x14ac:dyDescent="0.25">
      <c r="A147" t="s">
        <v>358</v>
      </c>
      <c r="B147" t="s">
        <v>350</v>
      </c>
      <c r="C147">
        <v>-0.08</v>
      </c>
    </row>
    <row r="148" spans="1:3" x14ac:dyDescent="0.25">
      <c r="A148" t="s">
        <v>358</v>
      </c>
      <c r="B148" t="s">
        <v>24</v>
      </c>
      <c r="C148">
        <v>0.52</v>
      </c>
    </row>
    <row r="149" spans="1:3" x14ac:dyDescent="0.25">
      <c r="A149" t="s">
        <v>359</v>
      </c>
      <c r="B149" t="s">
        <v>23</v>
      </c>
    </row>
    <row r="150" spans="1:3" x14ac:dyDescent="0.25">
      <c r="A150" t="s">
        <v>359</v>
      </c>
      <c r="B150" t="s">
        <v>180</v>
      </c>
    </row>
    <row r="151" spans="1:3" x14ac:dyDescent="0.25">
      <c r="A151" t="s">
        <v>359</v>
      </c>
      <c r="B151" t="s">
        <v>181</v>
      </c>
    </row>
    <row r="152" spans="1:3" x14ac:dyDescent="0.25">
      <c r="A152" t="s">
        <v>359</v>
      </c>
      <c r="B152" t="s">
        <v>348</v>
      </c>
      <c r="C152">
        <v>-1.2999999999999999E-2</v>
      </c>
    </row>
    <row r="153" spans="1:3" x14ac:dyDescent="0.25">
      <c r="A153" t="s">
        <v>359</v>
      </c>
      <c r="B153" t="s">
        <v>349</v>
      </c>
      <c r="C153">
        <v>-1.4E-2</v>
      </c>
    </row>
    <row r="154" spans="1:3" x14ac:dyDescent="0.25">
      <c r="A154" t="s">
        <v>359</v>
      </c>
      <c r="B154" t="s">
        <v>350</v>
      </c>
      <c r="C154">
        <v>-9.1999999999999998E-2</v>
      </c>
    </row>
    <row r="155" spans="1:3" x14ac:dyDescent="0.25">
      <c r="A155" t="s">
        <v>359</v>
      </c>
      <c r="B155" t="s">
        <v>24</v>
      </c>
      <c r="C155">
        <v>0.52</v>
      </c>
    </row>
    <row r="156" spans="1:3" x14ac:dyDescent="0.25">
      <c r="A156" t="s">
        <v>360</v>
      </c>
      <c r="B156" t="s">
        <v>23</v>
      </c>
    </row>
    <row r="157" spans="1:3" x14ac:dyDescent="0.25">
      <c r="A157" t="s">
        <v>360</v>
      </c>
      <c r="B157" t="s">
        <v>180</v>
      </c>
    </row>
    <row r="158" spans="1:3" x14ac:dyDescent="0.25">
      <c r="A158" t="s">
        <v>360</v>
      </c>
      <c r="B158" t="s">
        <v>181</v>
      </c>
    </row>
    <row r="159" spans="1:3" x14ac:dyDescent="0.25">
      <c r="A159" t="s">
        <v>360</v>
      </c>
      <c r="B159" t="s">
        <v>348</v>
      </c>
      <c r="C159">
        <v>-2.7E-2</v>
      </c>
    </row>
    <row r="160" spans="1:3" x14ac:dyDescent="0.25">
      <c r="A160" t="s">
        <v>360</v>
      </c>
      <c r="B160" t="s">
        <v>349</v>
      </c>
      <c r="C160">
        <v>-1.0999999999999999E-2</v>
      </c>
    </row>
    <row r="161" spans="1:3" x14ac:dyDescent="0.25">
      <c r="A161" t="s">
        <v>360</v>
      </c>
      <c r="B161" t="s">
        <v>350</v>
      </c>
      <c r="C161">
        <v>-6.0999999999999999E-2</v>
      </c>
    </row>
    <row r="162" spans="1:3" x14ac:dyDescent="0.25">
      <c r="A162" t="s">
        <v>360</v>
      </c>
      <c r="B162" t="s">
        <v>24</v>
      </c>
      <c r="C162">
        <v>0.313</v>
      </c>
    </row>
    <row r="163" spans="1:3" x14ac:dyDescent="0.25">
      <c r="A163" t="s">
        <v>361</v>
      </c>
      <c r="B163" t="s">
        <v>23</v>
      </c>
    </row>
    <row r="164" spans="1:3" x14ac:dyDescent="0.25">
      <c r="A164" t="s">
        <v>361</v>
      </c>
      <c r="B164" t="s">
        <v>180</v>
      </c>
    </row>
    <row r="165" spans="1:3" x14ac:dyDescent="0.25">
      <c r="A165" t="s">
        <v>361</v>
      </c>
      <c r="B165" t="s">
        <v>181</v>
      </c>
    </row>
    <row r="166" spans="1:3" x14ac:dyDescent="0.25">
      <c r="A166" t="s">
        <v>361</v>
      </c>
      <c r="B166" t="s">
        <v>348</v>
      </c>
      <c r="C166">
        <v>-1E-3</v>
      </c>
    </row>
    <row r="167" spans="1:3" x14ac:dyDescent="0.25">
      <c r="A167" t="s">
        <v>361</v>
      </c>
      <c r="B167" t="s">
        <v>349</v>
      </c>
      <c r="C167">
        <v>-2E-3</v>
      </c>
    </row>
    <row r="168" spans="1:3" x14ac:dyDescent="0.25">
      <c r="A168" t="s">
        <v>361</v>
      </c>
      <c r="B168" t="s">
        <v>350</v>
      </c>
      <c r="C168">
        <v>-1.9E-2</v>
      </c>
    </row>
    <row r="169" spans="1:3" x14ac:dyDescent="0.25">
      <c r="A169" t="s">
        <v>361</v>
      </c>
      <c r="B169" t="s">
        <v>24</v>
      </c>
      <c r="C169">
        <v>3.2000000000000001E-2</v>
      </c>
    </row>
    <row r="170" spans="1:3" x14ac:dyDescent="0.25">
      <c r="A170" t="s">
        <v>87</v>
      </c>
      <c r="B170" t="s">
        <v>23</v>
      </c>
    </row>
    <row r="171" spans="1:3" x14ac:dyDescent="0.25">
      <c r="A171" t="s">
        <v>87</v>
      </c>
      <c r="B171" t="s">
        <v>180</v>
      </c>
    </row>
    <row r="172" spans="1:3" x14ac:dyDescent="0.25">
      <c r="A172" t="s">
        <v>87</v>
      </c>
      <c r="B172" t="s">
        <v>181</v>
      </c>
    </row>
    <row r="173" spans="1:3" x14ac:dyDescent="0.25">
      <c r="A173" t="s">
        <v>87</v>
      </c>
      <c r="B173" t="s">
        <v>348</v>
      </c>
      <c r="C173">
        <v>-6.2E-2</v>
      </c>
    </row>
    <row r="174" spans="1:3" x14ac:dyDescent="0.25">
      <c r="A174" t="s">
        <v>87</v>
      </c>
      <c r="B174" t="s">
        <v>349</v>
      </c>
      <c r="C174">
        <v>-1.4999999999999999E-2</v>
      </c>
    </row>
    <row r="175" spans="1:3" x14ac:dyDescent="0.25">
      <c r="A175" t="s">
        <v>87</v>
      </c>
      <c r="B175" t="s">
        <v>350</v>
      </c>
      <c r="C175">
        <v>-3.3000000000000002E-2</v>
      </c>
    </row>
    <row r="176" spans="1:3" x14ac:dyDescent="0.25">
      <c r="A176" t="s">
        <v>87</v>
      </c>
      <c r="B176" t="s">
        <v>24</v>
      </c>
      <c r="C176">
        <v>1.3</v>
      </c>
    </row>
    <row r="177" spans="1:3" x14ac:dyDescent="0.25">
      <c r="A177" t="s">
        <v>90</v>
      </c>
      <c r="B177" t="s">
        <v>23</v>
      </c>
    </row>
    <row r="178" spans="1:3" x14ac:dyDescent="0.25">
      <c r="A178" t="s">
        <v>90</v>
      </c>
      <c r="B178" t="s">
        <v>180</v>
      </c>
    </row>
    <row r="179" spans="1:3" x14ac:dyDescent="0.25">
      <c r="A179" t="s">
        <v>90</v>
      </c>
      <c r="B179" t="s">
        <v>181</v>
      </c>
    </row>
    <row r="180" spans="1:3" x14ac:dyDescent="0.25">
      <c r="A180" t="s">
        <v>90</v>
      </c>
      <c r="B180" t="s">
        <v>348</v>
      </c>
      <c r="C180">
        <v>-0.14000000000000001</v>
      </c>
    </row>
    <row r="181" spans="1:3" x14ac:dyDescent="0.25">
      <c r="A181" t="s">
        <v>90</v>
      </c>
      <c r="B181" t="s">
        <v>349</v>
      </c>
      <c r="C181">
        <v>-0.13</v>
      </c>
    </row>
    <row r="182" spans="1:3" x14ac:dyDescent="0.25">
      <c r="A182" t="s">
        <v>90</v>
      </c>
      <c r="B182" t="s">
        <v>350</v>
      </c>
      <c r="C182">
        <v>-0.17</v>
      </c>
    </row>
    <row r="183" spans="1:3" x14ac:dyDescent="0.25">
      <c r="A183" t="s">
        <v>90</v>
      </c>
      <c r="B183" t="s">
        <v>24</v>
      </c>
      <c r="C183">
        <v>0.5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05816-00FF-458D-8921-8D01423DCE8A}">
  <dimension ref="A1:C61"/>
  <sheetViews>
    <sheetView workbookViewId="0">
      <selection sqref="A1:C61"/>
    </sheetView>
  </sheetViews>
  <sheetFormatPr defaultRowHeight="15" x14ac:dyDescent="0.25"/>
  <sheetData>
    <row r="1" spans="1:3" x14ac:dyDescent="0.25">
      <c r="A1" t="s">
        <v>0</v>
      </c>
      <c r="B1" t="s">
        <v>2</v>
      </c>
      <c r="C1" t="s">
        <v>345</v>
      </c>
    </row>
    <row r="2" spans="1:3" x14ac:dyDescent="0.25">
      <c r="A2" t="s">
        <v>105</v>
      </c>
      <c r="B2" t="s">
        <v>6</v>
      </c>
      <c r="C2">
        <v>-0.93</v>
      </c>
    </row>
    <row r="3" spans="1:3" x14ac:dyDescent="0.25">
      <c r="A3" t="s">
        <v>105</v>
      </c>
      <c r="B3" t="s">
        <v>192</v>
      </c>
      <c r="C3">
        <v>-0.93</v>
      </c>
    </row>
    <row r="4" spans="1:3" x14ac:dyDescent="0.25">
      <c r="A4" t="s">
        <v>105</v>
      </c>
      <c r="B4" t="s">
        <v>193</v>
      </c>
      <c r="C4">
        <v>-0.93</v>
      </c>
    </row>
    <row r="5" spans="1:3" x14ac:dyDescent="0.25">
      <c r="A5" t="s">
        <v>105</v>
      </c>
      <c r="B5" t="s">
        <v>194</v>
      </c>
      <c r="C5">
        <v>-0.93</v>
      </c>
    </row>
    <row r="6" spans="1:3" x14ac:dyDescent="0.25">
      <c r="A6" t="s">
        <v>105</v>
      </c>
      <c r="B6" t="s">
        <v>49</v>
      </c>
      <c r="C6">
        <v>-0.93</v>
      </c>
    </row>
    <row r="7" spans="1:3" x14ac:dyDescent="0.25">
      <c r="A7" t="s">
        <v>105</v>
      </c>
      <c r="B7" t="s">
        <v>7</v>
      </c>
      <c r="C7">
        <v>-0.93</v>
      </c>
    </row>
    <row r="8" spans="1:3" x14ac:dyDescent="0.25">
      <c r="A8" t="s">
        <v>105</v>
      </c>
      <c r="B8" t="s">
        <v>195</v>
      </c>
      <c r="C8">
        <v>-0.93</v>
      </c>
    </row>
    <row r="9" spans="1:3" x14ac:dyDescent="0.25">
      <c r="A9" t="s">
        <v>105</v>
      </c>
      <c r="B9" t="s">
        <v>196</v>
      </c>
      <c r="C9">
        <v>-0.93</v>
      </c>
    </row>
    <row r="10" spans="1:3" x14ac:dyDescent="0.25">
      <c r="A10" t="s">
        <v>105</v>
      </c>
      <c r="B10" t="s">
        <v>8</v>
      </c>
      <c r="C10">
        <v>-0.86</v>
      </c>
    </row>
    <row r="11" spans="1:3" x14ac:dyDescent="0.25">
      <c r="A11" t="s">
        <v>105</v>
      </c>
      <c r="B11" t="s">
        <v>9</v>
      </c>
      <c r="C11">
        <v>-0.86</v>
      </c>
    </row>
    <row r="12" spans="1:3" x14ac:dyDescent="0.25">
      <c r="A12" t="s">
        <v>105</v>
      </c>
      <c r="B12" t="s">
        <v>197</v>
      </c>
      <c r="C12">
        <v>-0.86</v>
      </c>
    </row>
    <row r="13" spans="1:3" x14ac:dyDescent="0.25">
      <c r="A13" t="s">
        <v>105</v>
      </c>
      <c r="B13" t="s">
        <v>10</v>
      </c>
      <c r="C13">
        <v>-0.85</v>
      </c>
    </row>
    <row r="14" spans="1:3" x14ac:dyDescent="0.25">
      <c r="A14" t="s">
        <v>105</v>
      </c>
      <c r="B14" t="s">
        <v>198</v>
      </c>
      <c r="C14">
        <v>-0.85</v>
      </c>
    </row>
    <row r="15" spans="1:3" x14ac:dyDescent="0.25">
      <c r="A15" t="s">
        <v>105</v>
      </c>
      <c r="B15" t="s">
        <v>50</v>
      </c>
      <c r="C15">
        <v>-0.85</v>
      </c>
    </row>
    <row r="16" spans="1:3" x14ac:dyDescent="0.25">
      <c r="A16" t="s">
        <v>105</v>
      </c>
      <c r="B16" t="s">
        <v>199</v>
      </c>
      <c r="C16">
        <v>-0.85</v>
      </c>
    </row>
    <row r="17" spans="1:3" x14ac:dyDescent="0.25">
      <c r="A17" t="s">
        <v>103</v>
      </c>
      <c r="B17" t="s">
        <v>6</v>
      </c>
      <c r="C17">
        <v>-0.2</v>
      </c>
    </row>
    <row r="18" spans="1:3" x14ac:dyDescent="0.25">
      <c r="A18" t="s">
        <v>103</v>
      </c>
      <c r="B18" t="s">
        <v>192</v>
      </c>
      <c r="C18">
        <v>-0.2</v>
      </c>
    </row>
    <row r="19" spans="1:3" x14ac:dyDescent="0.25">
      <c r="A19" t="s">
        <v>103</v>
      </c>
      <c r="B19" t="s">
        <v>193</v>
      </c>
      <c r="C19">
        <v>-0.2</v>
      </c>
    </row>
    <row r="20" spans="1:3" x14ac:dyDescent="0.25">
      <c r="A20" t="s">
        <v>103</v>
      </c>
      <c r="B20" t="s">
        <v>194</v>
      </c>
      <c r="C20">
        <v>-0.2</v>
      </c>
    </row>
    <row r="21" spans="1:3" x14ac:dyDescent="0.25">
      <c r="A21" t="s">
        <v>103</v>
      </c>
      <c r="B21" t="s">
        <v>49</v>
      </c>
      <c r="C21">
        <v>-0.2</v>
      </c>
    </row>
    <row r="22" spans="1:3" x14ac:dyDescent="0.25">
      <c r="A22" t="s">
        <v>103</v>
      </c>
      <c r="B22" t="s">
        <v>7</v>
      </c>
      <c r="C22">
        <v>-0.19</v>
      </c>
    </row>
    <row r="23" spans="1:3" x14ac:dyDescent="0.25">
      <c r="A23" t="s">
        <v>103</v>
      </c>
      <c r="B23" t="s">
        <v>195</v>
      </c>
      <c r="C23">
        <v>-0.19</v>
      </c>
    </row>
    <row r="24" spans="1:3" x14ac:dyDescent="0.25">
      <c r="A24" t="s">
        <v>103</v>
      </c>
      <c r="B24" t="s">
        <v>196</v>
      </c>
      <c r="C24">
        <v>-0.19</v>
      </c>
    </row>
    <row r="25" spans="1:3" x14ac:dyDescent="0.25">
      <c r="A25" t="s">
        <v>103</v>
      </c>
      <c r="B25" t="s">
        <v>8</v>
      </c>
      <c r="C25">
        <v>-0.18</v>
      </c>
    </row>
    <row r="26" spans="1:3" x14ac:dyDescent="0.25">
      <c r="A26" t="s">
        <v>103</v>
      </c>
      <c r="B26" t="s">
        <v>9</v>
      </c>
      <c r="C26">
        <v>-0.18</v>
      </c>
    </row>
    <row r="27" spans="1:3" x14ac:dyDescent="0.25">
      <c r="A27" t="s">
        <v>103</v>
      </c>
      <c r="B27" t="s">
        <v>197</v>
      </c>
      <c r="C27">
        <v>-0.18</v>
      </c>
    </row>
    <row r="28" spans="1:3" x14ac:dyDescent="0.25">
      <c r="A28" t="s">
        <v>103</v>
      </c>
      <c r="B28" t="s">
        <v>10</v>
      </c>
      <c r="C28">
        <v>-0.16</v>
      </c>
    </row>
    <row r="29" spans="1:3" x14ac:dyDescent="0.25">
      <c r="A29" t="s">
        <v>103</v>
      </c>
      <c r="B29" t="s">
        <v>198</v>
      </c>
      <c r="C29">
        <v>-0.16</v>
      </c>
    </row>
    <row r="30" spans="1:3" x14ac:dyDescent="0.25">
      <c r="A30" t="s">
        <v>103</v>
      </c>
      <c r="B30" t="s">
        <v>50</v>
      </c>
      <c r="C30">
        <v>-0.16</v>
      </c>
    </row>
    <row r="31" spans="1:3" x14ac:dyDescent="0.25">
      <c r="A31" t="s">
        <v>103</v>
      </c>
      <c r="B31" t="s">
        <v>199</v>
      </c>
      <c r="C31">
        <v>-0.16</v>
      </c>
    </row>
    <row r="32" spans="1:3" x14ac:dyDescent="0.25">
      <c r="A32" t="s">
        <v>98</v>
      </c>
      <c r="B32" t="s">
        <v>6</v>
      </c>
      <c r="C32">
        <v>-21.3</v>
      </c>
    </row>
    <row r="33" spans="1:3" x14ac:dyDescent="0.25">
      <c r="A33" t="s">
        <v>98</v>
      </c>
      <c r="B33" t="s">
        <v>192</v>
      </c>
      <c r="C33">
        <v>-21.3</v>
      </c>
    </row>
    <row r="34" spans="1:3" x14ac:dyDescent="0.25">
      <c r="A34" t="s">
        <v>98</v>
      </c>
      <c r="B34" t="s">
        <v>193</v>
      </c>
      <c r="C34">
        <v>-21.3</v>
      </c>
    </row>
    <row r="35" spans="1:3" x14ac:dyDescent="0.25">
      <c r="A35" t="s">
        <v>98</v>
      </c>
      <c r="B35" t="s">
        <v>194</v>
      </c>
      <c r="C35">
        <v>-21.3</v>
      </c>
    </row>
    <row r="36" spans="1:3" x14ac:dyDescent="0.25">
      <c r="A36" t="s">
        <v>98</v>
      </c>
      <c r="B36" t="s">
        <v>49</v>
      </c>
      <c r="C36">
        <v>-21.3</v>
      </c>
    </row>
    <row r="37" spans="1:3" x14ac:dyDescent="0.25">
      <c r="A37" t="s">
        <v>98</v>
      </c>
      <c r="B37" t="s">
        <v>7</v>
      </c>
      <c r="C37">
        <v>-21.3</v>
      </c>
    </row>
    <row r="38" spans="1:3" x14ac:dyDescent="0.25">
      <c r="A38" t="s">
        <v>98</v>
      </c>
      <c r="B38" t="s">
        <v>195</v>
      </c>
      <c r="C38">
        <v>-21.3</v>
      </c>
    </row>
    <row r="39" spans="1:3" x14ac:dyDescent="0.25">
      <c r="A39" t="s">
        <v>98</v>
      </c>
      <c r="B39" t="s">
        <v>196</v>
      </c>
      <c r="C39">
        <v>-21.3</v>
      </c>
    </row>
    <row r="40" spans="1:3" x14ac:dyDescent="0.25">
      <c r="A40" t="s">
        <v>98</v>
      </c>
      <c r="B40" t="s">
        <v>8</v>
      </c>
      <c r="C40">
        <v>-15.9</v>
      </c>
    </row>
    <row r="41" spans="1:3" x14ac:dyDescent="0.25">
      <c r="A41" t="s">
        <v>98</v>
      </c>
      <c r="B41" t="s">
        <v>9</v>
      </c>
      <c r="C41">
        <v>-15.9</v>
      </c>
    </row>
    <row r="42" spans="1:3" x14ac:dyDescent="0.25">
      <c r="A42" t="s">
        <v>98</v>
      </c>
      <c r="B42" t="s">
        <v>197</v>
      </c>
      <c r="C42">
        <v>-15.9</v>
      </c>
    </row>
    <row r="43" spans="1:3" x14ac:dyDescent="0.25">
      <c r="A43" t="s">
        <v>98</v>
      </c>
      <c r="B43" t="s">
        <v>10</v>
      </c>
      <c r="C43">
        <v>-7.3</v>
      </c>
    </row>
    <row r="44" spans="1:3" x14ac:dyDescent="0.25">
      <c r="A44" t="s">
        <v>98</v>
      </c>
      <c r="B44" t="s">
        <v>198</v>
      </c>
      <c r="C44">
        <v>-7.3</v>
      </c>
    </row>
    <row r="45" spans="1:3" x14ac:dyDescent="0.25">
      <c r="A45" t="s">
        <v>98</v>
      </c>
      <c r="B45" t="s">
        <v>50</v>
      </c>
      <c r="C45">
        <v>-7.3</v>
      </c>
    </row>
    <row r="46" spans="1:3" x14ac:dyDescent="0.25">
      <c r="A46" t="s">
        <v>98</v>
      </c>
      <c r="B46" t="s">
        <v>199</v>
      </c>
      <c r="C46">
        <v>-7.3</v>
      </c>
    </row>
    <row r="47" spans="1:3" x14ac:dyDescent="0.25">
      <c r="A47" t="s">
        <v>37</v>
      </c>
      <c r="B47" t="s">
        <v>6</v>
      </c>
      <c r="C47">
        <v>-4.4000000000000004</v>
      </c>
    </row>
    <row r="48" spans="1:3" x14ac:dyDescent="0.25">
      <c r="A48" t="s">
        <v>37</v>
      </c>
      <c r="B48" t="s">
        <v>192</v>
      </c>
      <c r="C48">
        <v>-4.4000000000000004</v>
      </c>
    </row>
    <row r="49" spans="1:3" x14ac:dyDescent="0.25">
      <c r="A49" t="s">
        <v>37</v>
      </c>
      <c r="B49" t="s">
        <v>193</v>
      </c>
      <c r="C49">
        <v>-4.0999999999999996</v>
      </c>
    </row>
    <row r="50" spans="1:3" x14ac:dyDescent="0.25">
      <c r="A50" t="s">
        <v>37</v>
      </c>
      <c r="B50" t="s">
        <v>194</v>
      </c>
      <c r="C50">
        <v>-4.0999999999999996</v>
      </c>
    </row>
    <row r="51" spans="1:3" x14ac:dyDescent="0.25">
      <c r="A51" t="s">
        <v>37</v>
      </c>
      <c r="B51" t="s">
        <v>49</v>
      </c>
      <c r="C51">
        <v>-4.0999999999999996</v>
      </c>
    </row>
    <row r="52" spans="1:3" x14ac:dyDescent="0.25">
      <c r="A52" t="s">
        <v>37</v>
      </c>
      <c r="B52" t="s">
        <v>7</v>
      </c>
      <c r="C52">
        <v>-3.9</v>
      </c>
    </row>
    <row r="53" spans="1:3" x14ac:dyDescent="0.25">
      <c r="A53" t="s">
        <v>37</v>
      </c>
      <c r="B53" t="s">
        <v>195</v>
      </c>
      <c r="C53">
        <v>-3.9</v>
      </c>
    </row>
    <row r="54" spans="1:3" x14ac:dyDescent="0.25">
      <c r="A54" t="s">
        <v>37</v>
      </c>
      <c r="B54" t="s">
        <v>196</v>
      </c>
      <c r="C54">
        <v>-3.9</v>
      </c>
    </row>
    <row r="55" spans="1:3" x14ac:dyDescent="0.25">
      <c r="A55" t="s">
        <v>37</v>
      </c>
      <c r="B55" t="s">
        <v>8</v>
      </c>
      <c r="C55">
        <v>-3.2</v>
      </c>
    </row>
    <row r="56" spans="1:3" x14ac:dyDescent="0.25">
      <c r="A56" t="s">
        <v>37</v>
      </c>
      <c r="B56" t="s">
        <v>9</v>
      </c>
      <c r="C56">
        <v>-3.2</v>
      </c>
    </row>
    <row r="57" spans="1:3" x14ac:dyDescent="0.25">
      <c r="A57" t="s">
        <v>37</v>
      </c>
      <c r="B57" t="s">
        <v>197</v>
      </c>
      <c r="C57">
        <v>-3.2</v>
      </c>
    </row>
    <row r="58" spans="1:3" x14ac:dyDescent="0.25">
      <c r="A58" t="s">
        <v>37</v>
      </c>
      <c r="B58" t="s">
        <v>10</v>
      </c>
      <c r="C58">
        <v>-2.1</v>
      </c>
    </row>
    <row r="59" spans="1:3" x14ac:dyDescent="0.25">
      <c r="A59" t="s">
        <v>37</v>
      </c>
      <c r="B59" t="s">
        <v>198</v>
      </c>
      <c r="C59">
        <v>-2.1</v>
      </c>
    </row>
    <row r="60" spans="1:3" x14ac:dyDescent="0.25">
      <c r="A60" t="s">
        <v>37</v>
      </c>
      <c r="B60" t="s">
        <v>50</v>
      </c>
      <c r="C60">
        <v>-2.1</v>
      </c>
    </row>
    <row r="61" spans="1:3" x14ac:dyDescent="0.25">
      <c r="A61" t="s">
        <v>37</v>
      </c>
      <c r="B61" t="s">
        <v>199</v>
      </c>
      <c r="C61">
        <v>-2.1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6C416-5E99-4BF3-A01A-B219B8D6BE2C}">
  <dimension ref="A1:C106"/>
  <sheetViews>
    <sheetView workbookViewId="0">
      <selection sqref="A1:C106"/>
    </sheetView>
  </sheetViews>
  <sheetFormatPr defaultRowHeight="15" x14ac:dyDescent="0.25"/>
  <sheetData>
    <row r="1" spans="1:3" x14ac:dyDescent="0.25">
      <c r="A1" t="s">
        <v>362</v>
      </c>
      <c r="B1" t="s">
        <v>363</v>
      </c>
      <c r="C1" t="s">
        <v>345</v>
      </c>
    </row>
    <row r="2" spans="1:3" x14ac:dyDescent="0.25">
      <c r="A2" t="s">
        <v>307</v>
      </c>
      <c r="B2" t="s">
        <v>364</v>
      </c>
      <c r="C2">
        <v>1404</v>
      </c>
    </row>
    <row r="3" spans="1:3" x14ac:dyDescent="0.25">
      <c r="A3" t="s">
        <v>307</v>
      </c>
      <c r="B3" t="s">
        <v>365</v>
      </c>
      <c r="C3">
        <v>10.7</v>
      </c>
    </row>
    <row r="4" spans="1:3" x14ac:dyDescent="0.25">
      <c r="A4" t="s">
        <v>307</v>
      </c>
      <c r="B4" t="s">
        <v>366</v>
      </c>
      <c r="C4">
        <v>0</v>
      </c>
    </row>
    <row r="5" spans="1:3" x14ac:dyDescent="0.25">
      <c r="A5" t="s">
        <v>307</v>
      </c>
      <c r="B5" t="s">
        <v>367</v>
      </c>
      <c r="C5">
        <v>2</v>
      </c>
    </row>
    <row r="6" spans="1:3" x14ac:dyDescent="0.25">
      <c r="A6" t="s">
        <v>307</v>
      </c>
      <c r="B6" t="s">
        <v>368</v>
      </c>
      <c r="C6">
        <v>61</v>
      </c>
    </row>
    <row r="7" spans="1:3" x14ac:dyDescent="0.25">
      <c r="A7" t="s">
        <v>308</v>
      </c>
      <c r="B7" t="s">
        <v>364</v>
      </c>
      <c r="C7">
        <v>1428</v>
      </c>
    </row>
    <row r="8" spans="1:3" x14ac:dyDescent="0.25">
      <c r="A8" t="s">
        <v>308</v>
      </c>
      <c r="B8" t="s">
        <v>365</v>
      </c>
      <c r="C8">
        <v>9.1999999999999993</v>
      </c>
    </row>
    <row r="9" spans="1:3" x14ac:dyDescent="0.25">
      <c r="A9" t="s">
        <v>308</v>
      </c>
      <c r="B9" t="s">
        <v>366</v>
      </c>
      <c r="C9">
        <v>0</v>
      </c>
    </row>
    <row r="10" spans="1:3" x14ac:dyDescent="0.25">
      <c r="A10" t="s">
        <v>308</v>
      </c>
      <c r="B10" t="s">
        <v>367</v>
      </c>
      <c r="C10">
        <v>3</v>
      </c>
    </row>
    <row r="11" spans="1:3" x14ac:dyDescent="0.25">
      <c r="A11" t="s">
        <v>308</v>
      </c>
      <c r="B11" t="s">
        <v>368</v>
      </c>
      <c r="C11">
        <v>64.7</v>
      </c>
    </row>
    <row r="12" spans="1:3" x14ac:dyDescent="0.25">
      <c r="A12" t="s">
        <v>309</v>
      </c>
      <c r="B12" t="s">
        <v>364</v>
      </c>
      <c r="C12">
        <v>1473</v>
      </c>
    </row>
    <row r="13" spans="1:3" x14ac:dyDescent="0.25">
      <c r="A13" t="s">
        <v>309</v>
      </c>
      <c r="B13" t="s">
        <v>365</v>
      </c>
      <c r="C13">
        <v>8.4700000000000006</v>
      </c>
    </row>
    <row r="14" spans="1:3" x14ac:dyDescent="0.25">
      <c r="A14" t="s">
        <v>309</v>
      </c>
      <c r="B14" t="s">
        <v>366</v>
      </c>
      <c r="C14">
        <v>0</v>
      </c>
    </row>
    <row r="15" spans="1:3" x14ac:dyDescent="0.25">
      <c r="A15" t="s">
        <v>309</v>
      </c>
      <c r="B15" t="s">
        <v>367</v>
      </c>
      <c r="C15">
        <v>1.88</v>
      </c>
    </row>
    <row r="16" spans="1:3" x14ac:dyDescent="0.25">
      <c r="A16" t="s">
        <v>309</v>
      </c>
      <c r="B16" t="s">
        <v>368</v>
      </c>
      <c r="C16">
        <v>72.400000000000006</v>
      </c>
    </row>
    <row r="17" spans="1:3" x14ac:dyDescent="0.25">
      <c r="A17" t="s">
        <v>310</v>
      </c>
      <c r="B17" t="s">
        <v>364</v>
      </c>
      <c r="C17">
        <v>3700</v>
      </c>
    </row>
    <row r="18" spans="1:3" x14ac:dyDescent="0.25">
      <c r="A18" t="s">
        <v>310</v>
      </c>
      <c r="B18" t="s">
        <v>365</v>
      </c>
      <c r="C18">
        <v>0</v>
      </c>
    </row>
    <row r="19" spans="1:3" x14ac:dyDescent="0.25">
      <c r="A19" t="s">
        <v>310</v>
      </c>
      <c r="B19" t="s">
        <v>366</v>
      </c>
      <c r="C19">
        <v>0</v>
      </c>
    </row>
    <row r="20" spans="1:3" x14ac:dyDescent="0.25">
      <c r="A20" t="s">
        <v>310</v>
      </c>
      <c r="B20" t="s">
        <v>367</v>
      </c>
      <c r="C20">
        <v>100</v>
      </c>
    </row>
    <row r="21" spans="1:3" x14ac:dyDescent="0.25">
      <c r="A21" t="s">
        <v>310</v>
      </c>
      <c r="B21" t="s">
        <v>368</v>
      </c>
      <c r="C21">
        <v>0</v>
      </c>
    </row>
    <row r="22" spans="1:3" x14ac:dyDescent="0.25">
      <c r="A22" t="s">
        <v>312</v>
      </c>
      <c r="B22" t="s">
        <v>364</v>
      </c>
      <c r="C22">
        <v>329</v>
      </c>
    </row>
    <row r="23" spans="1:3" x14ac:dyDescent="0.25">
      <c r="A23" t="s">
        <v>312</v>
      </c>
      <c r="B23" t="s">
        <v>365</v>
      </c>
      <c r="C23">
        <v>1.74</v>
      </c>
    </row>
    <row r="24" spans="1:3" x14ac:dyDescent="0.25">
      <c r="A24" t="s">
        <v>312</v>
      </c>
      <c r="B24" t="s">
        <v>366</v>
      </c>
      <c r="C24">
        <v>0</v>
      </c>
    </row>
    <row r="25" spans="1:3" x14ac:dyDescent="0.25">
      <c r="A25" t="s">
        <v>312</v>
      </c>
      <c r="B25" t="s">
        <v>367</v>
      </c>
      <c r="C25">
        <v>0.1</v>
      </c>
    </row>
    <row r="26" spans="1:3" x14ac:dyDescent="0.25">
      <c r="A26" t="s">
        <v>312</v>
      </c>
      <c r="B26" t="s">
        <v>368</v>
      </c>
      <c r="C26">
        <v>16.399999999999999</v>
      </c>
    </row>
    <row r="27" spans="1:3" x14ac:dyDescent="0.25">
      <c r="A27" t="s">
        <v>313</v>
      </c>
      <c r="B27" t="s">
        <v>364</v>
      </c>
      <c r="C27">
        <v>1693</v>
      </c>
    </row>
    <row r="28" spans="1:3" x14ac:dyDescent="0.25">
      <c r="A28" t="s">
        <v>313</v>
      </c>
      <c r="B28" t="s">
        <v>365</v>
      </c>
      <c r="C28">
        <v>0</v>
      </c>
    </row>
    <row r="29" spans="1:3" x14ac:dyDescent="0.25">
      <c r="A29" t="s">
        <v>313</v>
      </c>
      <c r="B29" t="s">
        <v>366</v>
      </c>
      <c r="C29">
        <v>0</v>
      </c>
    </row>
    <row r="30" spans="1:3" x14ac:dyDescent="0.25">
      <c r="A30" t="s">
        <v>313</v>
      </c>
      <c r="B30" t="s">
        <v>367</v>
      </c>
      <c r="C30">
        <v>0</v>
      </c>
    </row>
    <row r="31" spans="1:3" x14ac:dyDescent="0.25">
      <c r="A31" t="s">
        <v>313</v>
      </c>
      <c r="B31" t="s">
        <v>368</v>
      </c>
      <c r="C31">
        <v>99.6</v>
      </c>
    </row>
    <row r="32" spans="1:3" x14ac:dyDescent="0.25">
      <c r="A32" t="s">
        <v>324</v>
      </c>
      <c r="B32" t="s">
        <v>364</v>
      </c>
      <c r="C32">
        <v>850</v>
      </c>
    </row>
    <row r="33" spans="1:3" x14ac:dyDescent="0.25">
      <c r="A33" t="s">
        <v>324</v>
      </c>
      <c r="B33" t="s">
        <v>365</v>
      </c>
      <c r="C33">
        <v>18.5</v>
      </c>
    </row>
    <row r="34" spans="1:3" x14ac:dyDescent="0.25">
      <c r="A34" t="s">
        <v>324</v>
      </c>
      <c r="B34" t="s">
        <v>366</v>
      </c>
      <c r="C34">
        <v>18.5</v>
      </c>
    </row>
    <row r="35" spans="1:3" x14ac:dyDescent="0.25">
      <c r="A35" t="s">
        <v>324</v>
      </c>
      <c r="B35" t="s">
        <v>367</v>
      </c>
      <c r="C35">
        <v>14.2</v>
      </c>
    </row>
    <row r="36" spans="1:3" x14ac:dyDescent="0.25">
      <c r="A36" t="s">
        <v>324</v>
      </c>
      <c r="B36" t="s">
        <v>368</v>
      </c>
      <c r="C36">
        <v>0.17</v>
      </c>
    </row>
    <row r="37" spans="1:3" x14ac:dyDescent="0.25">
      <c r="A37" t="s">
        <v>314</v>
      </c>
      <c r="B37" t="s">
        <v>364</v>
      </c>
      <c r="C37">
        <v>575</v>
      </c>
    </row>
    <row r="38" spans="1:3" x14ac:dyDescent="0.25">
      <c r="A38" t="s">
        <v>314</v>
      </c>
      <c r="B38" t="s">
        <v>365</v>
      </c>
      <c r="C38">
        <v>12.3</v>
      </c>
    </row>
    <row r="39" spans="1:3" x14ac:dyDescent="0.25">
      <c r="A39" t="s">
        <v>314</v>
      </c>
      <c r="B39" t="s">
        <v>366</v>
      </c>
      <c r="C39">
        <v>12.3</v>
      </c>
    </row>
    <row r="40" spans="1:3" x14ac:dyDescent="0.25">
      <c r="A40" t="s">
        <v>314</v>
      </c>
      <c r="B40" t="s">
        <v>367</v>
      </c>
      <c r="C40">
        <v>9.73</v>
      </c>
    </row>
    <row r="41" spans="1:3" x14ac:dyDescent="0.25">
      <c r="A41" t="s">
        <v>314</v>
      </c>
      <c r="B41" t="s">
        <v>368</v>
      </c>
      <c r="C41">
        <v>0.4</v>
      </c>
    </row>
    <row r="42" spans="1:3" x14ac:dyDescent="0.25">
      <c r="A42" t="s">
        <v>316</v>
      </c>
      <c r="B42" t="s">
        <v>364</v>
      </c>
      <c r="C42">
        <v>210</v>
      </c>
    </row>
    <row r="43" spans="1:3" x14ac:dyDescent="0.25">
      <c r="A43" t="s">
        <v>316</v>
      </c>
      <c r="B43" t="s">
        <v>365</v>
      </c>
      <c r="C43">
        <v>3.5</v>
      </c>
    </row>
    <row r="44" spans="1:3" x14ac:dyDescent="0.25">
      <c r="A44" t="s">
        <v>316</v>
      </c>
      <c r="B44" t="s">
        <v>366</v>
      </c>
      <c r="C44">
        <v>3.5</v>
      </c>
    </row>
    <row r="45" spans="1:3" x14ac:dyDescent="0.25">
      <c r="A45" t="s">
        <v>316</v>
      </c>
      <c r="B45" t="s">
        <v>367</v>
      </c>
      <c r="C45">
        <v>1.9</v>
      </c>
    </row>
    <row r="46" spans="1:3" x14ac:dyDescent="0.25">
      <c r="A46" t="s">
        <v>316</v>
      </c>
      <c r="B46" t="s">
        <v>368</v>
      </c>
      <c r="C46">
        <v>4.8</v>
      </c>
    </row>
    <row r="47" spans="1:3" x14ac:dyDescent="0.25">
      <c r="A47" t="s">
        <v>317</v>
      </c>
      <c r="B47" t="s">
        <v>364</v>
      </c>
      <c r="C47">
        <v>1377</v>
      </c>
    </row>
    <row r="48" spans="1:3" x14ac:dyDescent="0.25">
      <c r="A48" t="s">
        <v>317</v>
      </c>
      <c r="B48" t="s">
        <v>365</v>
      </c>
      <c r="C48">
        <v>20</v>
      </c>
    </row>
    <row r="49" spans="1:3" x14ac:dyDescent="0.25">
      <c r="A49" t="s">
        <v>317</v>
      </c>
      <c r="B49" t="s">
        <v>366</v>
      </c>
      <c r="C49">
        <v>20</v>
      </c>
    </row>
    <row r="50" spans="1:3" x14ac:dyDescent="0.25">
      <c r="A50" t="s">
        <v>317</v>
      </c>
      <c r="B50" t="s">
        <v>367</v>
      </c>
      <c r="C50">
        <v>27.3</v>
      </c>
    </row>
    <row r="51" spans="1:3" x14ac:dyDescent="0.25">
      <c r="A51" t="s">
        <v>317</v>
      </c>
      <c r="B51" t="s">
        <v>368</v>
      </c>
      <c r="C51">
        <v>1.7</v>
      </c>
    </row>
    <row r="52" spans="1:3" x14ac:dyDescent="0.25">
      <c r="A52" t="s">
        <v>318</v>
      </c>
      <c r="B52" t="s">
        <v>364</v>
      </c>
      <c r="C52">
        <v>3049</v>
      </c>
    </row>
    <row r="53" spans="1:3" x14ac:dyDescent="0.25">
      <c r="A53" t="s">
        <v>318</v>
      </c>
      <c r="B53" t="s">
        <v>365</v>
      </c>
      <c r="C53">
        <v>0.4</v>
      </c>
    </row>
    <row r="54" spans="1:3" x14ac:dyDescent="0.25">
      <c r="A54" t="s">
        <v>318</v>
      </c>
      <c r="B54" t="s">
        <v>366</v>
      </c>
      <c r="C54">
        <v>0.4</v>
      </c>
    </row>
    <row r="55" spans="1:3" x14ac:dyDescent="0.25">
      <c r="A55" t="s">
        <v>318</v>
      </c>
      <c r="B55" t="s">
        <v>367</v>
      </c>
      <c r="C55">
        <v>82</v>
      </c>
    </row>
    <row r="56" spans="1:3" x14ac:dyDescent="0.25">
      <c r="A56" t="s">
        <v>318</v>
      </c>
      <c r="B56" t="s">
        <v>368</v>
      </c>
      <c r="C56">
        <v>0.5</v>
      </c>
    </row>
    <row r="57" spans="1:3" x14ac:dyDescent="0.25">
      <c r="A57" t="s">
        <v>319</v>
      </c>
      <c r="B57" t="s">
        <v>364</v>
      </c>
      <c r="C57">
        <v>1319</v>
      </c>
    </row>
    <row r="58" spans="1:3" x14ac:dyDescent="0.25">
      <c r="A58" t="s">
        <v>319</v>
      </c>
      <c r="B58" t="s">
        <v>365</v>
      </c>
      <c r="C58">
        <v>2.4</v>
      </c>
    </row>
    <row r="59" spans="1:3" x14ac:dyDescent="0.25">
      <c r="A59" t="s">
        <v>319</v>
      </c>
      <c r="B59" t="s">
        <v>366</v>
      </c>
      <c r="C59">
        <v>2.4</v>
      </c>
    </row>
    <row r="60" spans="1:3" x14ac:dyDescent="0.25">
      <c r="A60" t="s">
        <v>319</v>
      </c>
      <c r="B60" t="s">
        <v>367</v>
      </c>
      <c r="C60">
        <v>33</v>
      </c>
    </row>
    <row r="61" spans="1:3" x14ac:dyDescent="0.25">
      <c r="A61" t="s">
        <v>319</v>
      </c>
      <c r="B61" t="s">
        <v>368</v>
      </c>
      <c r="C61">
        <v>3.3</v>
      </c>
    </row>
    <row r="62" spans="1:3" x14ac:dyDescent="0.25">
      <c r="A62" t="s">
        <v>320</v>
      </c>
      <c r="B62" t="s">
        <v>364</v>
      </c>
      <c r="C62">
        <v>1570</v>
      </c>
    </row>
    <row r="63" spans="1:3" x14ac:dyDescent="0.25">
      <c r="A63" t="s">
        <v>320</v>
      </c>
      <c r="B63" t="s">
        <v>365</v>
      </c>
      <c r="C63">
        <v>36.200000000000003</v>
      </c>
    </row>
    <row r="64" spans="1:3" x14ac:dyDescent="0.25">
      <c r="A64" t="s">
        <v>320</v>
      </c>
      <c r="B64" t="s">
        <v>366</v>
      </c>
      <c r="C64">
        <v>36.200000000000003</v>
      </c>
    </row>
    <row r="65" spans="1:3" x14ac:dyDescent="0.25">
      <c r="A65" t="s">
        <v>320</v>
      </c>
      <c r="B65" t="s">
        <v>367</v>
      </c>
      <c r="C65">
        <v>1.92</v>
      </c>
    </row>
    <row r="66" spans="1:3" x14ac:dyDescent="0.25">
      <c r="A66" t="s">
        <v>320</v>
      </c>
      <c r="B66" t="s">
        <v>368</v>
      </c>
      <c r="C66">
        <v>52</v>
      </c>
    </row>
    <row r="67" spans="1:3" x14ac:dyDescent="0.25">
      <c r="A67" t="s">
        <v>321</v>
      </c>
      <c r="B67" t="s">
        <v>364</v>
      </c>
      <c r="C67">
        <v>789</v>
      </c>
    </row>
    <row r="68" spans="1:3" x14ac:dyDescent="0.25">
      <c r="A68" t="s">
        <v>321</v>
      </c>
      <c r="B68" t="s">
        <v>365</v>
      </c>
      <c r="C68">
        <v>19.600000000000001</v>
      </c>
    </row>
    <row r="69" spans="1:3" x14ac:dyDescent="0.25">
      <c r="A69" t="s">
        <v>321</v>
      </c>
      <c r="B69" t="s">
        <v>366</v>
      </c>
      <c r="C69">
        <v>19.600000000000001</v>
      </c>
    </row>
    <row r="70" spans="1:3" x14ac:dyDescent="0.25">
      <c r="A70" t="s">
        <v>321</v>
      </c>
      <c r="B70" t="s">
        <v>367</v>
      </c>
      <c r="C70">
        <v>12.2</v>
      </c>
    </row>
    <row r="71" spans="1:3" x14ac:dyDescent="0.25">
      <c r="A71" t="s">
        <v>321</v>
      </c>
      <c r="B71" t="s">
        <v>368</v>
      </c>
      <c r="C71">
        <v>0.21</v>
      </c>
    </row>
    <row r="72" spans="1:3" x14ac:dyDescent="0.25">
      <c r="A72" t="s">
        <v>322</v>
      </c>
      <c r="B72" t="s">
        <v>364</v>
      </c>
      <c r="C72">
        <v>1029</v>
      </c>
    </row>
    <row r="73" spans="1:3" x14ac:dyDescent="0.25">
      <c r="A73" t="s">
        <v>322</v>
      </c>
      <c r="B73" t="s">
        <v>365</v>
      </c>
      <c r="C73">
        <v>16.2</v>
      </c>
    </row>
    <row r="74" spans="1:3" x14ac:dyDescent="0.25">
      <c r="A74" t="s">
        <v>322</v>
      </c>
      <c r="B74" t="s">
        <v>366</v>
      </c>
      <c r="C74">
        <v>16.2</v>
      </c>
    </row>
    <row r="75" spans="1:3" x14ac:dyDescent="0.25">
      <c r="A75" t="s">
        <v>322</v>
      </c>
      <c r="B75" t="s">
        <v>367</v>
      </c>
      <c r="C75">
        <v>20.3</v>
      </c>
    </row>
    <row r="76" spans="1:3" x14ac:dyDescent="0.25">
      <c r="A76" t="s">
        <v>322</v>
      </c>
      <c r="B76" t="s">
        <v>368</v>
      </c>
      <c r="C76">
        <v>0.14000000000000001</v>
      </c>
    </row>
    <row r="77" spans="1:3" x14ac:dyDescent="0.25">
      <c r="A77" t="s">
        <v>323</v>
      </c>
      <c r="B77" t="s">
        <v>364</v>
      </c>
      <c r="C77">
        <v>426</v>
      </c>
    </row>
    <row r="78" spans="1:3" x14ac:dyDescent="0.25">
      <c r="A78" t="s">
        <v>323</v>
      </c>
      <c r="B78" t="s">
        <v>365</v>
      </c>
      <c r="C78">
        <v>11.5</v>
      </c>
    </row>
    <row r="79" spans="1:3" x14ac:dyDescent="0.25">
      <c r="A79" t="s">
        <v>323</v>
      </c>
      <c r="B79" t="s">
        <v>366</v>
      </c>
      <c r="C79">
        <v>11.5</v>
      </c>
    </row>
    <row r="80" spans="1:3" x14ac:dyDescent="0.25">
      <c r="A80" t="s">
        <v>323</v>
      </c>
      <c r="B80" t="s">
        <v>367</v>
      </c>
      <c r="C80">
        <v>6.2</v>
      </c>
    </row>
    <row r="81" spans="1:3" x14ac:dyDescent="0.25">
      <c r="A81" t="s">
        <v>323</v>
      </c>
      <c r="B81" t="s">
        <v>368</v>
      </c>
      <c r="C81">
        <v>0.1</v>
      </c>
    </row>
    <row r="82" spans="1:3" x14ac:dyDescent="0.25">
      <c r="A82" t="s">
        <v>325</v>
      </c>
      <c r="B82" t="s">
        <v>364</v>
      </c>
      <c r="C82">
        <v>548</v>
      </c>
    </row>
    <row r="83" spans="1:3" x14ac:dyDescent="0.25">
      <c r="A83" t="s">
        <v>325</v>
      </c>
      <c r="B83" t="s">
        <v>365</v>
      </c>
      <c r="C83">
        <v>18.100000000000001</v>
      </c>
    </row>
    <row r="84" spans="1:3" x14ac:dyDescent="0.25">
      <c r="A84" t="s">
        <v>325</v>
      </c>
      <c r="B84" t="s">
        <v>366</v>
      </c>
      <c r="C84">
        <v>18.100000000000001</v>
      </c>
    </row>
    <row r="85" spans="1:3" x14ac:dyDescent="0.25">
      <c r="A85" t="s">
        <v>325</v>
      </c>
      <c r="B85" t="s">
        <v>367</v>
      </c>
      <c r="C85">
        <v>6.5</v>
      </c>
    </row>
    <row r="86" spans="1:3" x14ac:dyDescent="0.25">
      <c r="A86" t="s">
        <v>325</v>
      </c>
      <c r="B86" t="s">
        <v>368</v>
      </c>
      <c r="C86">
        <v>0.99</v>
      </c>
    </row>
    <row r="87" spans="1:3" x14ac:dyDescent="0.25">
      <c r="A87" t="s">
        <v>326</v>
      </c>
      <c r="B87" t="s">
        <v>364</v>
      </c>
      <c r="C87">
        <v>685</v>
      </c>
    </row>
    <row r="88" spans="1:3" x14ac:dyDescent="0.25">
      <c r="A88" t="s">
        <v>326</v>
      </c>
      <c r="B88" t="s">
        <v>365</v>
      </c>
      <c r="C88">
        <v>16</v>
      </c>
    </row>
    <row r="89" spans="1:3" x14ac:dyDescent="0.25">
      <c r="A89" t="s">
        <v>326</v>
      </c>
      <c r="B89" t="s">
        <v>366</v>
      </c>
      <c r="C89">
        <v>16</v>
      </c>
    </row>
    <row r="90" spans="1:3" x14ac:dyDescent="0.25">
      <c r="A90" t="s">
        <v>326</v>
      </c>
      <c r="B90" t="s">
        <v>367</v>
      </c>
      <c r="C90">
        <v>10.5</v>
      </c>
    </row>
    <row r="91" spans="1:3" x14ac:dyDescent="0.25">
      <c r="A91" t="s">
        <v>326</v>
      </c>
      <c r="B91" t="s">
        <v>368</v>
      </c>
      <c r="C91">
        <v>4.8499999999999996</v>
      </c>
    </row>
    <row r="92" spans="1:3" x14ac:dyDescent="0.25">
      <c r="A92" t="s">
        <v>327</v>
      </c>
      <c r="B92" t="s">
        <v>364</v>
      </c>
      <c r="C92">
        <v>387</v>
      </c>
    </row>
    <row r="93" spans="1:3" x14ac:dyDescent="0.25">
      <c r="A93" t="s">
        <v>327</v>
      </c>
      <c r="B93" t="s">
        <v>365</v>
      </c>
      <c r="C93">
        <v>1.7</v>
      </c>
    </row>
    <row r="94" spans="1:3" x14ac:dyDescent="0.25">
      <c r="A94" t="s">
        <v>327</v>
      </c>
      <c r="B94" t="s">
        <v>366</v>
      </c>
      <c r="C94">
        <v>0</v>
      </c>
    </row>
    <row r="95" spans="1:3" x14ac:dyDescent="0.25">
      <c r="A95" t="s">
        <v>327</v>
      </c>
      <c r="B95" t="s">
        <v>367</v>
      </c>
      <c r="C95">
        <v>2.6</v>
      </c>
    </row>
    <row r="96" spans="1:3" x14ac:dyDescent="0.25">
      <c r="A96" t="s">
        <v>327</v>
      </c>
      <c r="B96" t="s">
        <v>368</v>
      </c>
      <c r="C96">
        <v>14.3</v>
      </c>
    </row>
    <row r="97" spans="1:3" x14ac:dyDescent="0.25">
      <c r="A97" t="s">
        <v>328</v>
      </c>
      <c r="B97" t="s">
        <v>364</v>
      </c>
      <c r="C97">
        <v>102</v>
      </c>
    </row>
    <row r="98" spans="1:3" x14ac:dyDescent="0.25">
      <c r="A98" t="s">
        <v>328</v>
      </c>
      <c r="B98" t="s">
        <v>365</v>
      </c>
      <c r="C98">
        <v>1</v>
      </c>
    </row>
    <row r="99" spans="1:3" x14ac:dyDescent="0.25">
      <c r="A99" t="s">
        <v>328</v>
      </c>
      <c r="B99" t="s">
        <v>366</v>
      </c>
      <c r="C99">
        <v>0</v>
      </c>
    </row>
    <row r="100" spans="1:3" x14ac:dyDescent="0.25">
      <c r="A100" t="s">
        <v>328</v>
      </c>
      <c r="B100" t="s">
        <v>367</v>
      </c>
      <c r="C100">
        <v>0.1</v>
      </c>
    </row>
    <row r="101" spans="1:3" x14ac:dyDescent="0.25">
      <c r="A101" t="s">
        <v>328</v>
      </c>
      <c r="B101" t="s">
        <v>368</v>
      </c>
      <c r="C101">
        <v>4.1399999999999997</v>
      </c>
    </row>
    <row r="102" spans="1:3" x14ac:dyDescent="0.25">
      <c r="A102" t="s">
        <v>329</v>
      </c>
      <c r="B102" t="s">
        <v>364</v>
      </c>
      <c r="C102">
        <v>221</v>
      </c>
    </row>
    <row r="103" spans="1:3" x14ac:dyDescent="0.25">
      <c r="A103" t="s">
        <v>329</v>
      </c>
      <c r="B103" t="s">
        <v>365</v>
      </c>
      <c r="C103">
        <v>0.7</v>
      </c>
    </row>
    <row r="104" spans="1:3" x14ac:dyDescent="0.25">
      <c r="A104" t="s">
        <v>329</v>
      </c>
      <c r="B104" t="s">
        <v>366</v>
      </c>
      <c r="C104">
        <v>0</v>
      </c>
    </row>
    <row r="105" spans="1:3" x14ac:dyDescent="0.25">
      <c r="A105" t="s">
        <v>329</v>
      </c>
      <c r="B105" t="s">
        <v>367</v>
      </c>
      <c r="C105">
        <v>0.8</v>
      </c>
    </row>
    <row r="106" spans="1:3" x14ac:dyDescent="0.25">
      <c r="A106" t="s">
        <v>329</v>
      </c>
      <c r="B106" t="s">
        <v>368</v>
      </c>
      <c r="C106">
        <v>9.1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61BA3-2572-48E1-B51A-549B5CBBC0F1}">
  <dimension ref="A1:B7"/>
  <sheetViews>
    <sheetView workbookViewId="0">
      <selection activeCell="R25" sqref="R25"/>
    </sheetView>
  </sheetViews>
  <sheetFormatPr defaultRowHeight="15" x14ac:dyDescent="0.25"/>
  <sheetData>
    <row r="1" spans="1:2" x14ac:dyDescent="0.25">
      <c r="A1" t="s">
        <v>146</v>
      </c>
      <c r="B1" t="s">
        <v>345</v>
      </c>
    </row>
    <row r="2" spans="1:2" x14ac:dyDescent="0.25">
      <c r="A2" t="s">
        <v>159</v>
      </c>
      <c r="B2">
        <v>507</v>
      </c>
    </row>
    <row r="3" spans="1:2" x14ac:dyDescent="0.25">
      <c r="A3" t="s">
        <v>148</v>
      </c>
      <c r="B3">
        <v>923</v>
      </c>
    </row>
    <row r="4" spans="1:2" x14ac:dyDescent="0.25">
      <c r="A4" t="s">
        <v>150</v>
      </c>
      <c r="B4">
        <v>3619</v>
      </c>
    </row>
    <row r="5" spans="1:2" x14ac:dyDescent="0.25">
      <c r="A5" t="s">
        <v>151</v>
      </c>
      <c r="B5">
        <v>1853</v>
      </c>
    </row>
    <row r="6" spans="1:2" x14ac:dyDescent="0.25">
      <c r="A6" t="s">
        <v>152</v>
      </c>
      <c r="B6">
        <v>1264</v>
      </c>
    </row>
    <row r="7" spans="1:2" x14ac:dyDescent="0.25">
      <c r="A7" t="s">
        <v>153</v>
      </c>
      <c r="B7">
        <v>1242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43"/>
  <sheetViews>
    <sheetView zoomScaleNormal="100" workbookViewId="0">
      <selection activeCell="B184" sqref="B184"/>
    </sheetView>
  </sheetViews>
  <sheetFormatPr defaultRowHeight="15" x14ac:dyDescent="0.25"/>
  <cols>
    <col min="1" max="1" width="12.140625" customWidth="1"/>
    <col min="2" max="2" width="14.7109375" customWidth="1"/>
    <col min="3" max="3" width="9" customWidth="1"/>
    <col min="4" max="4" width="11" customWidth="1"/>
  </cols>
  <sheetData>
    <row r="1" spans="1:4" x14ac:dyDescent="0.25">
      <c r="A1" s="1" t="s">
        <v>0</v>
      </c>
      <c r="B1" s="1" t="s">
        <v>1</v>
      </c>
      <c r="C1" s="1" t="s">
        <v>478</v>
      </c>
      <c r="D1" s="1" t="s">
        <v>3</v>
      </c>
    </row>
    <row r="2" spans="1:4" x14ac:dyDescent="0.25">
      <c r="A2" t="s">
        <v>4</v>
      </c>
      <c r="B2" t="s">
        <v>5</v>
      </c>
      <c r="C2" t="s">
        <v>479</v>
      </c>
      <c r="D2">
        <v>0.94199999999999995</v>
      </c>
    </row>
    <row r="3" spans="1:4" x14ac:dyDescent="0.25">
      <c r="A3" t="s">
        <v>4</v>
      </c>
      <c r="B3" t="s">
        <v>5</v>
      </c>
      <c r="C3" t="s">
        <v>481</v>
      </c>
      <c r="D3">
        <v>0.99299999999999999</v>
      </c>
    </row>
    <row r="4" spans="1:4" x14ac:dyDescent="0.25">
      <c r="A4" t="s">
        <v>4</v>
      </c>
      <c r="B4" t="s">
        <v>5</v>
      </c>
      <c r="C4" t="s">
        <v>491</v>
      </c>
      <c r="D4">
        <v>0.98</v>
      </c>
    </row>
    <row r="5" spans="1:4" x14ac:dyDescent="0.25">
      <c r="A5" t="s">
        <v>4</v>
      </c>
      <c r="B5" t="s">
        <v>5</v>
      </c>
      <c r="C5" t="s">
        <v>492</v>
      </c>
      <c r="D5">
        <v>0.996</v>
      </c>
    </row>
    <row r="6" spans="1:4" x14ac:dyDescent="0.25">
      <c r="A6" t="s">
        <v>4</v>
      </c>
      <c r="B6" t="s">
        <v>5</v>
      </c>
      <c r="C6" t="s">
        <v>483</v>
      </c>
      <c r="D6">
        <v>1.0569999999999999</v>
      </c>
    </row>
    <row r="7" spans="1:4" x14ac:dyDescent="0.25">
      <c r="A7" t="s">
        <v>4</v>
      </c>
      <c r="B7" t="s">
        <v>5</v>
      </c>
      <c r="C7" t="s">
        <v>494</v>
      </c>
      <c r="D7">
        <v>1.2509999999999999</v>
      </c>
    </row>
    <row r="8" spans="1:4" x14ac:dyDescent="0.25">
      <c r="A8" t="s">
        <v>4</v>
      </c>
      <c r="B8" t="s">
        <v>5</v>
      </c>
      <c r="C8" t="s">
        <v>486</v>
      </c>
      <c r="D8">
        <v>1.147</v>
      </c>
    </row>
    <row r="9" spans="1:4" x14ac:dyDescent="0.25">
      <c r="A9" t="s">
        <v>4</v>
      </c>
      <c r="B9" t="s">
        <v>5</v>
      </c>
      <c r="C9" t="s">
        <v>487</v>
      </c>
      <c r="D9">
        <v>1.123</v>
      </c>
    </row>
    <row r="10" spans="1:4" x14ac:dyDescent="0.25">
      <c r="A10" t="s">
        <v>4</v>
      </c>
      <c r="B10" t="s">
        <v>5</v>
      </c>
      <c r="C10" t="s">
        <v>493</v>
      </c>
      <c r="D10">
        <v>1.075</v>
      </c>
    </row>
    <row r="11" spans="1:4" x14ac:dyDescent="0.25">
      <c r="A11" t="s">
        <v>4</v>
      </c>
      <c r="B11" t="s">
        <v>5</v>
      </c>
      <c r="C11" t="s">
        <v>495</v>
      </c>
      <c r="D11">
        <v>1.2230000000000001</v>
      </c>
    </row>
    <row r="12" spans="1:4" x14ac:dyDescent="0.25">
      <c r="A12" t="s">
        <v>4</v>
      </c>
      <c r="B12" t="s">
        <v>5</v>
      </c>
      <c r="C12" t="s">
        <v>496</v>
      </c>
      <c r="D12">
        <v>1.1180000000000001</v>
      </c>
    </row>
    <row r="13" spans="1:4" x14ac:dyDescent="0.25">
      <c r="A13" t="s">
        <v>4</v>
      </c>
      <c r="B13" t="s">
        <v>5</v>
      </c>
      <c r="C13" t="s">
        <v>497</v>
      </c>
      <c r="D13">
        <v>1.1459999999999999</v>
      </c>
    </row>
    <row r="14" spans="1:4" x14ac:dyDescent="0.25">
      <c r="A14" t="s">
        <v>4</v>
      </c>
      <c r="B14" t="s">
        <v>5</v>
      </c>
      <c r="C14" t="s">
        <v>498</v>
      </c>
      <c r="D14">
        <v>1.1359999999999999</v>
      </c>
    </row>
    <row r="15" spans="1:4" x14ac:dyDescent="0.25">
      <c r="A15" t="s">
        <v>4</v>
      </c>
      <c r="B15" t="s">
        <v>5</v>
      </c>
      <c r="C15" t="s">
        <v>499</v>
      </c>
      <c r="D15">
        <v>1.3140000000000001</v>
      </c>
    </row>
    <row r="16" spans="1:4" x14ac:dyDescent="0.25">
      <c r="A16" t="s">
        <v>4</v>
      </c>
      <c r="B16" t="s">
        <v>20</v>
      </c>
      <c r="C16" t="s">
        <v>479</v>
      </c>
      <c r="D16">
        <v>-2.41</v>
      </c>
    </row>
    <row r="17" spans="1:4" x14ac:dyDescent="0.25">
      <c r="A17" t="s">
        <v>4</v>
      </c>
      <c r="B17" t="s">
        <v>20</v>
      </c>
      <c r="C17" t="s">
        <v>481</v>
      </c>
      <c r="D17">
        <v>-2.5</v>
      </c>
    </row>
    <row r="18" spans="1:4" x14ac:dyDescent="0.25">
      <c r="A18" t="s">
        <v>4</v>
      </c>
      <c r="B18" t="s">
        <v>20</v>
      </c>
      <c r="C18" t="s">
        <v>491</v>
      </c>
      <c r="D18">
        <v>-2.6</v>
      </c>
    </row>
    <row r="19" spans="1:4" x14ac:dyDescent="0.25">
      <c r="A19" t="s">
        <v>4</v>
      </c>
      <c r="B19" t="s">
        <v>20</v>
      </c>
      <c r="C19" t="s">
        <v>492</v>
      </c>
      <c r="D19">
        <v>-2.7280000000000002</v>
      </c>
    </row>
    <row r="20" spans="1:4" x14ac:dyDescent="0.25">
      <c r="A20" t="s">
        <v>4</v>
      </c>
      <c r="B20" t="s">
        <v>20</v>
      </c>
      <c r="C20" t="s">
        <v>483</v>
      </c>
      <c r="D20">
        <v>-3.14</v>
      </c>
    </row>
    <row r="21" spans="1:4" x14ac:dyDescent="0.25">
      <c r="A21" t="s">
        <v>4</v>
      </c>
      <c r="B21" t="s">
        <v>20</v>
      </c>
      <c r="C21" t="s">
        <v>494</v>
      </c>
      <c r="D21">
        <v>-3.5</v>
      </c>
    </row>
    <row r="22" spans="1:4" x14ac:dyDescent="0.25">
      <c r="A22" t="s">
        <v>4</v>
      </c>
      <c r="B22" t="s">
        <v>20</v>
      </c>
      <c r="C22" t="s">
        <v>486</v>
      </c>
      <c r="D22">
        <v>-4</v>
      </c>
    </row>
    <row r="23" spans="1:4" x14ac:dyDescent="0.25">
      <c r="A23" t="s">
        <v>4</v>
      </c>
      <c r="B23" t="s">
        <v>20</v>
      </c>
      <c r="C23" t="s">
        <v>487</v>
      </c>
      <c r="D23">
        <v>-4.2</v>
      </c>
    </row>
    <row r="24" spans="1:4" x14ac:dyDescent="0.25">
      <c r="A24" t="s">
        <v>4</v>
      </c>
      <c r="B24" t="s">
        <v>20</v>
      </c>
      <c r="C24" t="s">
        <v>493</v>
      </c>
      <c r="D24">
        <v>-3.8010000000000002</v>
      </c>
    </row>
    <row r="25" spans="1:4" x14ac:dyDescent="0.25">
      <c r="A25" t="s">
        <v>4</v>
      </c>
      <c r="B25" t="s">
        <v>20</v>
      </c>
      <c r="C25" t="s">
        <v>495</v>
      </c>
      <c r="D25">
        <v>-4.3440000000000003</v>
      </c>
    </row>
    <row r="26" spans="1:4" x14ac:dyDescent="0.25">
      <c r="A26" t="s">
        <v>4</v>
      </c>
      <c r="B26" t="s">
        <v>20</v>
      </c>
      <c r="C26" t="s">
        <v>496</v>
      </c>
      <c r="D26">
        <v>-4.3440000000000003</v>
      </c>
    </row>
    <row r="27" spans="1:4" x14ac:dyDescent="0.25">
      <c r="A27" t="s">
        <v>4</v>
      </c>
      <c r="B27" t="s">
        <v>20</v>
      </c>
      <c r="C27" t="s">
        <v>497</v>
      </c>
      <c r="D27">
        <v>-4.9219999999999997</v>
      </c>
    </row>
    <row r="28" spans="1:4" x14ac:dyDescent="0.25">
      <c r="A28" t="s">
        <v>4</v>
      </c>
      <c r="B28" t="s">
        <v>20</v>
      </c>
      <c r="C28" t="s">
        <v>498</v>
      </c>
      <c r="D28">
        <v>-4.5599999999999996</v>
      </c>
    </row>
    <row r="29" spans="1:4" x14ac:dyDescent="0.25">
      <c r="A29" t="s">
        <v>4</v>
      </c>
      <c r="B29" t="s">
        <v>20</v>
      </c>
      <c r="C29" t="s">
        <v>499</v>
      </c>
      <c r="D29">
        <v>-5.8070000000000004</v>
      </c>
    </row>
    <row r="30" spans="1:4" x14ac:dyDescent="0.25">
      <c r="A30" t="s">
        <v>4</v>
      </c>
      <c r="B30" t="s">
        <v>21</v>
      </c>
      <c r="C30" t="s">
        <v>479</v>
      </c>
      <c r="D30">
        <v>0.21099999999999999</v>
      </c>
    </row>
    <row r="31" spans="1:4" x14ac:dyDescent="0.25">
      <c r="A31" t="s">
        <v>4</v>
      </c>
      <c r="B31" t="s">
        <v>21</v>
      </c>
      <c r="C31" t="s">
        <v>481</v>
      </c>
      <c r="D31">
        <v>0.21099999999999999</v>
      </c>
    </row>
    <row r="32" spans="1:4" x14ac:dyDescent="0.25">
      <c r="A32" t="s">
        <v>4</v>
      </c>
      <c r="B32" t="s">
        <v>21</v>
      </c>
      <c r="C32" t="s">
        <v>491</v>
      </c>
      <c r="D32">
        <v>0.21099999999999999</v>
      </c>
    </row>
    <row r="33" spans="1:4" x14ac:dyDescent="0.25">
      <c r="A33" t="s">
        <v>4</v>
      </c>
      <c r="B33" t="s">
        <v>21</v>
      </c>
      <c r="C33" t="s">
        <v>492</v>
      </c>
      <c r="D33">
        <v>0.215</v>
      </c>
    </row>
    <row r="34" spans="1:4" x14ac:dyDescent="0.25">
      <c r="A34" t="s">
        <v>4</v>
      </c>
      <c r="B34" t="s">
        <v>21</v>
      </c>
      <c r="C34" t="s">
        <v>483</v>
      </c>
      <c r="D34">
        <v>0.22700000000000001</v>
      </c>
    </row>
    <row r="35" spans="1:4" x14ac:dyDescent="0.25">
      <c r="A35" t="s">
        <v>4</v>
      </c>
      <c r="B35" t="s">
        <v>21</v>
      </c>
      <c r="C35" t="s">
        <v>494</v>
      </c>
      <c r="D35">
        <v>0.24099999999999999</v>
      </c>
    </row>
    <row r="36" spans="1:4" x14ac:dyDescent="0.25">
      <c r="A36" t="s">
        <v>4</v>
      </c>
      <c r="B36" t="s">
        <v>21</v>
      </c>
      <c r="C36" t="s">
        <v>486</v>
      </c>
      <c r="D36">
        <v>0.23</v>
      </c>
    </row>
    <row r="37" spans="1:4" x14ac:dyDescent="0.25">
      <c r="A37" t="s">
        <v>4</v>
      </c>
      <c r="B37" t="s">
        <v>21</v>
      </c>
      <c r="C37" t="s">
        <v>487</v>
      </c>
      <c r="D37">
        <v>0.23300000000000001</v>
      </c>
    </row>
    <row r="38" spans="1:4" x14ac:dyDescent="0.25">
      <c r="A38" t="s">
        <v>4</v>
      </c>
      <c r="B38" t="s">
        <v>21</v>
      </c>
      <c r="C38" t="s">
        <v>493</v>
      </c>
      <c r="D38">
        <v>0.223</v>
      </c>
    </row>
    <row r="39" spans="1:4" x14ac:dyDescent="0.25">
      <c r="A39" t="s">
        <v>4</v>
      </c>
      <c r="B39" t="s">
        <v>21</v>
      </c>
      <c r="C39" t="s">
        <v>495</v>
      </c>
      <c r="D39">
        <v>0.24099999999999999</v>
      </c>
    </row>
    <row r="40" spans="1:4" x14ac:dyDescent="0.25">
      <c r="A40" t="s">
        <v>4</v>
      </c>
      <c r="B40" t="s">
        <v>21</v>
      </c>
      <c r="C40" t="s">
        <v>496</v>
      </c>
      <c r="D40">
        <v>0.24099999999999999</v>
      </c>
    </row>
    <row r="41" spans="1:4" x14ac:dyDescent="0.25">
      <c r="A41" t="s">
        <v>4</v>
      </c>
      <c r="B41" t="s">
        <v>21</v>
      </c>
      <c r="C41" t="s">
        <v>497</v>
      </c>
      <c r="D41">
        <v>0.23499999999999999</v>
      </c>
    </row>
    <row r="42" spans="1:4" x14ac:dyDescent="0.25">
      <c r="A42" t="s">
        <v>4</v>
      </c>
      <c r="B42" t="s">
        <v>21</v>
      </c>
      <c r="C42" t="s">
        <v>498</v>
      </c>
      <c r="D42">
        <v>0.247</v>
      </c>
    </row>
    <row r="43" spans="1:4" x14ac:dyDescent="0.25">
      <c r="A43" t="s">
        <v>4</v>
      </c>
      <c r="B43" t="s">
        <v>21</v>
      </c>
      <c r="C43" t="s">
        <v>499</v>
      </c>
      <c r="D43">
        <v>0.247</v>
      </c>
    </row>
    <row r="44" spans="1:4" x14ac:dyDescent="0.25">
      <c r="A44" t="s">
        <v>4</v>
      </c>
      <c r="B44" t="s">
        <v>22</v>
      </c>
      <c r="C44" t="s">
        <v>479</v>
      </c>
      <c r="D44">
        <v>8.0000000000000002E-3</v>
      </c>
    </row>
    <row r="45" spans="1:4" x14ac:dyDescent="0.25">
      <c r="A45" t="s">
        <v>4</v>
      </c>
      <c r="B45" t="s">
        <v>22</v>
      </c>
      <c r="C45" t="s">
        <v>481</v>
      </c>
      <c r="D45">
        <v>8.0000000000000002E-3</v>
      </c>
    </row>
    <row r="46" spans="1:4" x14ac:dyDescent="0.25">
      <c r="A46" t="s">
        <v>4</v>
      </c>
      <c r="B46" t="s">
        <v>22</v>
      </c>
      <c r="C46" t="s">
        <v>491</v>
      </c>
      <c r="D46">
        <v>8.0000000000000002E-3</v>
      </c>
    </row>
    <row r="47" spans="1:4" x14ac:dyDescent="0.25">
      <c r="A47" t="s">
        <v>4</v>
      </c>
      <c r="B47" t="s">
        <v>22</v>
      </c>
      <c r="C47" t="s">
        <v>492</v>
      </c>
      <c r="D47">
        <v>8.0000000000000002E-3</v>
      </c>
    </row>
    <row r="48" spans="1:4" x14ac:dyDescent="0.25">
      <c r="A48" t="s">
        <v>4</v>
      </c>
      <c r="B48" t="s">
        <v>22</v>
      </c>
      <c r="C48" t="s">
        <v>483</v>
      </c>
      <c r="D48">
        <v>7.0000000000000001E-3</v>
      </c>
    </row>
    <row r="49" spans="1:4" x14ac:dyDescent="0.25">
      <c r="A49" t="s">
        <v>4</v>
      </c>
      <c r="B49" t="s">
        <v>22</v>
      </c>
      <c r="C49" t="s">
        <v>494</v>
      </c>
      <c r="D49">
        <v>6.0000000000000001E-3</v>
      </c>
    </row>
    <row r="50" spans="1:4" x14ac:dyDescent="0.25">
      <c r="A50" t="s">
        <v>4</v>
      </c>
      <c r="B50" t="s">
        <v>22</v>
      </c>
      <c r="C50" t="s">
        <v>486</v>
      </c>
      <c r="D50">
        <v>7.0000000000000001E-3</v>
      </c>
    </row>
    <row r="51" spans="1:4" x14ac:dyDescent="0.25">
      <c r="A51" t="s">
        <v>4</v>
      </c>
      <c r="B51" t="s">
        <v>22</v>
      </c>
      <c r="C51" t="s">
        <v>487</v>
      </c>
      <c r="D51">
        <v>6.0000000000000001E-3</v>
      </c>
    </row>
    <row r="52" spans="1:4" x14ac:dyDescent="0.25">
      <c r="A52" t="s">
        <v>4</v>
      </c>
      <c r="B52" t="s">
        <v>22</v>
      </c>
      <c r="C52" t="s">
        <v>493</v>
      </c>
      <c r="D52">
        <v>8.0000000000000002E-3</v>
      </c>
    </row>
    <row r="53" spans="1:4" x14ac:dyDescent="0.25">
      <c r="A53" t="s">
        <v>4</v>
      </c>
      <c r="B53" t="s">
        <v>22</v>
      </c>
      <c r="C53" t="s">
        <v>495</v>
      </c>
      <c r="D53">
        <v>6.0000000000000001E-3</v>
      </c>
    </row>
    <row r="54" spans="1:4" x14ac:dyDescent="0.25">
      <c r="A54" t="s">
        <v>4</v>
      </c>
      <c r="B54" t="s">
        <v>22</v>
      </c>
      <c r="C54" t="s">
        <v>496</v>
      </c>
      <c r="D54">
        <v>5.0000000000000001E-3</v>
      </c>
    </row>
    <row r="55" spans="1:4" x14ac:dyDescent="0.25">
      <c r="A55" t="s">
        <v>4</v>
      </c>
      <c r="B55" t="s">
        <v>22</v>
      </c>
      <c r="C55" t="s">
        <v>497</v>
      </c>
      <c r="D55">
        <v>5.0000000000000001E-3</v>
      </c>
    </row>
    <row r="56" spans="1:4" x14ac:dyDescent="0.25">
      <c r="A56" t="s">
        <v>4</v>
      </c>
      <c r="B56" t="s">
        <v>22</v>
      </c>
      <c r="C56" t="s">
        <v>498</v>
      </c>
      <c r="D56">
        <v>5.0000000000000001E-3</v>
      </c>
    </row>
    <row r="57" spans="1:4" x14ac:dyDescent="0.25">
      <c r="A57" t="s">
        <v>4</v>
      </c>
      <c r="B57" t="s">
        <v>22</v>
      </c>
      <c r="C57" t="s">
        <v>499</v>
      </c>
      <c r="D57">
        <v>5.0000000000000001E-3</v>
      </c>
    </row>
    <row r="58" spans="1:4" x14ac:dyDescent="0.25">
      <c r="A58" t="s">
        <v>4</v>
      </c>
      <c r="B58" t="s">
        <v>23</v>
      </c>
      <c r="C58" t="s">
        <v>479</v>
      </c>
      <c r="D58">
        <v>0.04</v>
      </c>
    </row>
    <row r="59" spans="1:4" x14ac:dyDescent="0.25">
      <c r="A59" t="s">
        <v>4</v>
      </c>
      <c r="B59" t="s">
        <v>23</v>
      </c>
      <c r="C59" t="s">
        <v>481</v>
      </c>
      <c r="D59">
        <v>4.2000000000000003E-2</v>
      </c>
    </row>
    <row r="60" spans="1:4" x14ac:dyDescent="0.25">
      <c r="A60" t="s">
        <v>4</v>
      </c>
      <c r="B60" t="s">
        <v>23</v>
      </c>
      <c r="C60" t="s">
        <v>491</v>
      </c>
      <c r="D60">
        <v>4.2000000000000003E-2</v>
      </c>
    </row>
    <row r="61" spans="1:4" x14ac:dyDescent="0.25">
      <c r="A61" t="s">
        <v>4</v>
      </c>
      <c r="B61" t="s">
        <v>23</v>
      </c>
      <c r="C61" t="s">
        <v>492</v>
      </c>
      <c r="D61">
        <v>4.4999999999999998E-2</v>
      </c>
    </row>
    <row r="62" spans="1:4" x14ac:dyDescent="0.25">
      <c r="A62" t="s">
        <v>4</v>
      </c>
      <c r="B62" t="s">
        <v>23</v>
      </c>
      <c r="C62" t="s">
        <v>483</v>
      </c>
      <c r="D62">
        <v>5.1999999999999998E-2</v>
      </c>
    </row>
    <row r="63" spans="1:4" x14ac:dyDescent="0.25">
      <c r="A63" t="s">
        <v>4</v>
      </c>
      <c r="B63" t="s">
        <v>23</v>
      </c>
      <c r="C63" t="s">
        <v>494</v>
      </c>
      <c r="D63">
        <v>0.06</v>
      </c>
    </row>
    <row r="64" spans="1:4" x14ac:dyDescent="0.25">
      <c r="A64" t="s">
        <v>4</v>
      </c>
      <c r="B64" t="s">
        <v>23</v>
      </c>
      <c r="C64" t="s">
        <v>486</v>
      </c>
      <c r="D64">
        <v>7.0000000000000007E-2</v>
      </c>
    </row>
    <row r="65" spans="1:4" x14ac:dyDescent="0.25">
      <c r="A65" t="s">
        <v>4</v>
      </c>
      <c r="B65" t="s">
        <v>23</v>
      </c>
      <c r="C65" t="s">
        <v>487</v>
      </c>
      <c r="D65">
        <v>7.3999999999999996E-2</v>
      </c>
    </row>
    <row r="66" spans="1:4" x14ac:dyDescent="0.25">
      <c r="A66" t="s">
        <v>4</v>
      </c>
      <c r="B66" t="s">
        <v>23</v>
      </c>
      <c r="C66" t="s">
        <v>493</v>
      </c>
      <c r="D66">
        <v>6.8000000000000005E-2</v>
      </c>
    </row>
    <row r="67" spans="1:4" x14ac:dyDescent="0.25">
      <c r="A67" t="s">
        <v>4</v>
      </c>
      <c r="B67" t="s">
        <v>23</v>
      </c>
      <c r="C67" t="s">
        <v>495</v>
      </c>
      <c r="D67">
        <v>7.4999999999999997E-2</v>
      </c>
    </row>
    <row r="68" spans="1:4" x14ac:dyDescent="0.25">
      <c r="A68" t="s">
        <v>4</v>
      </c>
      <c r="B68" t="s">
        <v>23</v>
      </c>
      <c r="C68" t="s">
        <v>496</v>
      </c>
      <c r="D68">
        <v>7.4999999999999997E-2</v>
      </c>
    </row>
    <row r="69" spans="1:4" x14ac:dyDescent="0.25">
      <c r="A69" t="s">
        <v>4</v>
      </c>
      <c r="B69" t="s">
        <v>23</v>
      </c>
      <c r="C69" t="s">
        <v>497</v>
      </c>
      <c r="D69">
        <v>0.09</v>
      </c>
    </row>
    <row r="70" spans="1:4" x14ac:dyDescent="0.25">
      <c r="A70" t="s">
        <v>4</v>
      </c>
      <c r="B70" t="s">
        <v>23</v>
      </c>
      <c r="C70" t="s">
        <v>498</v>
      </c>
      <c r="D70">
        <v>7.2999999999999995E-2</v>
      </c>
    </row>
    <row r="71" spans="1:4" x14ac:dyDescent="0.25">
      <c r="A71" t="s">
        <v>4</v>
      </c>
      <c r="B71" t="s">
        <v>23</v>
      </c>
      <c r="C71" t="s">
        <v>499</v>
      </c>
      <c r="D71">
        <v>9.5000000000000001E-2</v>
      </c>
    </row>
    <row r="72" spans="1:4" x14ac:dyDescent="0.25">
      <c r="A72" t="s">
        <v>4</v>
      </c>
      <c r="B72" t="s">
        <v>615</v>
      </c>
      <c r="C72" t="s">
        <v>479</v>
      </c>
      <c r="D72">
        <v>2.5000000000000001E-2</v>
      </c>
    </row>
    <row r="73" spans="1:4" x14ac:dyDescent="0.25">
      <c r="A73" t="s">
        <v>4</v>
      </c>
      <c r="B73" t="s">
        <v>615</v>
      </c>
      <c r="C73" t="s">
        <v>481</v>
      </c>
      <c r="D73">
        <v>2.5999999999999999E-2</v>
      </c>
    </row>
    <row r="74" spans="1:4" x14ac:dyDescent="0.25">
      <c r="A74" t="s">
        <v>4</v>
      </c>
      <c r="B74" t="s">
        <v>615</v>
      </c>
      <c r="C74" t="s">
        <v>491</v>
      </c>
      <c r="D74">
        <v>2.5000000000000001E-2</v>
      </c>
    </row>
    <row r="75" spans="1:4" x14ac:dyDescent="0.25">
      <c r="A75" t="s">
        <v>4</v>
      </c>
      <c r="B75" t="s">
        <v>615</v>
      </c>
      <c r="C75" t="s">
        <v>492</v>
      </c>
      <c r="D75">
        <v>2.9000000000000001E-2</v>
      </c>
    </row>
    <row r="76" spans="1:4" x14ac:dyDescent="0.25">
      <c r="A76" t="s">
        <v>4</v>
      </c>
      <c r="B76" t="s">
        <v>615</v>
      </c>
      <c r="C76" t="s">
        <v>483</v>
      </c>
      <c r="D76">
        <v>0.03</v>
      </c>
    </row>
    <row r="77" spans="1:4" x14ac:dyDescent="0.25">
      <c r="A77" t="s">
        <v>4</v>
      </c>
      <c r="B77" t="s">
        <v>615</v>
      </c>
      <c r="C77" t="s">
        <v>494</v>
      </c>
      <c r="D77">
        <v>2.9000000000000001E-2</v>
      </c>
    </row>
    <row r="78" spans="1:4" x14ac:dyDescent="0.25">
      <c r="A78" t="s">
        <v>4</v>
      </c>
      <c r="B78" t="s">
        <v>615</v>
      </c>
      <c r="C78" t="s">
        <v>486</v>
      </c>
      <c r="D78">
        <v>0.03</v>
      </c>
    </row>
    <row r="79" spans="1:4" x14ac:dyDescent="0.25">
      <c r="A79" t="s">
        <v>4</v>
      </c>
      <c r="B79" t="s">
        <v>615</v>
      </c>
      <c r="C79" t="s">
        <v>487</v>
      </c>
      <c r="D79">
        <v>1.4E-2</v>
      </c>
    </row>
    <row r="80" spans="1:4" x14ac:dyDescent="0.25">
      <c r="A80" t="s">
        <v>4</v>
      </c>
      <c r="B80" t="s">
        <v>615</v>
      </c>
      <c r="C80" t="s">
        <v>493</v>
      </c>
      <c r="D80">
        <v>3.5999999999999997E-2</v>
      </c>
    </row>
    <row r="81" spans="1:4" x14ac:dyDescent="0.25">
      <c r="A81" t="s">
        <v>4</v>
      </c>
      <c r="B81" t="s">
        <v>615</v>
      </c>
      <c r="C81" t="s">
        <v>495</v>
      </c>
      <c r="D81">
        <v>2.5000000000000001E-2</v>
      </c>
    </row>
    <row r="82" spans="1:4" x14ac:dyDescent="0.25">
      <c r="A82" t="s">
        <v>4</v>
      </c>
      <c r="B82" t="s">
        <v>615</v>
      </c>
      <c r="C82" t="s">
        <v>496</v>
      </c>
      <c r="D82">
        <v>2.3E-2</v>
      </c>
    </row>
    <row r="83" spans="1:4" x14ac:dyDescent="0.25">
      <c r="A83" t="s">
        <v>4</v>
      </c>
      <c r="B83" t="s">
        <v>615</v>
      </c>
      <c r="C83" t="s">
        <v>497</v>
      </c>
      <c r="D83">
        <v>2.3E-2</v>
      </c>
    </row>
    <row r="84" spans="1:4" x14ac:dyDescent="0.25">
      <c r="A84" t="s">
        <v>4</v>
      </c>
      <c r="B84" t="s">
        <v>615</v>
      </c>
      <c r="C84" t="s">
        <v>498</v>
      </c>
      <c r="D84">
        <v>4.4999999999999998E-2</v>
      </c>
    </row>
    <row r="85" spans="1:4" x14ac:dyDescent="0.25">
      <c r="A85" t="s">
        <v>4</v>
      </c>
      <c r="B85" t="s">
        <v>615</v>
      </c>
      <c r="C85" t="s">
        <v>499</v>
      </c>
      <c r="D85">
        <v>4.4999999999999998E-2</v>
      </c>
    </row>
    <row r="86" spans="1:4" x14ac:dyDescent="0.25">
      <c r="A86" t="s">
        <v>4</v>
      </c>
      <c r="B86" t="s">
        <v>24</v>
      </c>
      <c r="C86" t="s">
        <v>479</v>
      </c>
      <c r="D86">
        <v>0.53600000000000003</v>
      </c>
    </row>
    <row r="87" spans="1:4" x14ac:dyDescent="0.25">
      <c r="A87" t="s">
        <v>4</v>
      </c>
      <c r="B87" t="s">
        <v>24</v>
      </c>
      <c r="C87" t="s">
        <v>481</v>
      </c>
      <c r="D87">
        <v>0.61699999999999999</v>
      </c>
    </row>
    <row r="88" spans="1:4" x14ac:dyDescent="0.25">
      <c r="A88" t="s">
        <v>4</v>
      </c>
      <c r="B88" t="s">
        <v>24</v>
      </c>
      <c r="C88" t="s">
        <v>491</v>
      </c>
      <c r="D88">
        <v>0.63200000000000001</v>
      </c>
    </row>
    <row r="89" spans="1:4" x14ac:dyDescent="0.25">
      <c r="A89" t="s">
        <v>4</v>
      </c>
      <c r="B89" t="s">
        <v>24</v>
      </c>
      <c r="C89" t="s">
        <v>492</v>
      </c>
      <c r="D89">
        <v>0.66200000000000003</v>
      </c>
    </row>
    <row r="90" spans="1:4" x14ac:dyDescent="0.25">
      <c r="A90" t="s">
        <v>4</v>
      </c>
      <c r="B90" t="s">
        <v>24</v>
      </c>
      <c r="C90" t="s">
        <v>483</v>
      </c>
      <c r="D90">
        <v>0.79700000000000004</v>
      </c>
    </row>
    <row r="91" spans="1:4" x14ac:dyDescent="0.25">
      <c r="A91" t="s">
        <v>4</v>
      </c>
      <c r="B91" t="s">
        <v>24</v>
      </c>
      <c r="C91" t="s">
        <v>494</v>
      </c>
      <c r="D91">
        <v>1.073</v>
      </c>
    </row>
    <row r="92" spans="1:4" x14ac:dyDescent="0.25">
      <c r="A92" t="s">
        <v>4</v>
      </c>
      <c r="B92" t="s">
        <v>24</v>
      </c>
      <c r="C92" t="s">
        <v>486</v>
      </c>
      <c r="D92">
        <v>0.91700000000000004</v>
      </c>
    </row>
    <row r="93" spans="1:4" x14ac:dyDescent="0.25">
      <c r="A93" t="s">
        <v>4</v>
      </c>
      <c r="B93" t="s">
        <v>24</v>
      </c>
      <c r="C93" t="s">
        <v>487</v>
      </c>
      <c r="D93">
        <v>0.90700000000000003</v>
      </c>
    </row>
    <row r="94" spans="1:4" x14ac:dyDescent="0.25">
      <c r="A94" t="s">
        <v>4</v>
      </c>
      <c r="B94" t="s">
        <v>24</v>
      </c>
      <c r="C94" t="s">
        <v>493</v>
      </c>
      <c r="D94">
        <v>0.79100000000000004</v>
      </c>
    </row>
    <row r="95" spans="1:4" x14ac:dyDescent="0.25">
      <c r="A95" t="s">
        <v>4</v>
      </c>
      <c r="B95" t="s">
        <v>24</v>
      </c>
      <c r="C95" t="s">
        <v>495</v>
      </c>
      <c r="D95">
        <v>1.07</v>
      </c>
    </row>
    <row r="96" spans="1:4" x14ac:dyDescent="0.25">
      <c r="A96" t="s">
        <v>4</v>
      </c>
      <c r="B96" t="s">
        <v>24</v>
      </c>
      <c r="C96" t="s">
        <v>496</v>
      </c>
      <c r="D96">
        <v>1.0329999999999999</v>
      </c>
    </row>
    <row r="97" spans="1:4" x14ac:dyDescent="0.25">
      <c r="A97" t="s">
        <v>4</v>
      </c>
      <c r="B97" t="s">
        <v>24</v>
      </c>
      <c r="C97" t="s">
        <v>497</v>
      </c>
      <c r="D97">
        <v>1.1459999999999999</v>
      </c>
    </row>
    <row r="98" spans="1:4" x14ac:dyDescent="0.25">
      <c r="A98" t="s">
        <v>4</v>
      </c>
      <c r="B98" t="s">
        <v>24</v>
      </c>
      <c r="C98" t="s">
        <v>498</v>
      </c>
      <c r="D98">
        <v>1.1359999999999999</v>
      </c>
    </row>
    <row r="99" spans="1:4" x14ac:dyDescent="0.25">
      <c r="A99" t="s">
        <v>4</v>
      </c>
      <c r="B99" t="s">
        <v>24</v>
      </c>
      <c r="C99" t="s">
        <v>499</v>
      </c>
      <c r="D99">
        <v>1.3140000000000001</v>
      </c>
    </row>
    <row r="100" spans="1:4" x14ac:dyDescent="0.25">
      <c r="A100" t="s">
        <v>4</v>
      </c>
      <c r="B100" t="s">
        <v>25</v>
      </c>
      <c r="C100" t="s">
        <v>479</v>
      </c>
      <c r="D100">
        <v>4.5999999999999999E-2</v>
      </c>
    </row>
    <row r="101" spans="1:4" x14ac:dyDescent="0.25">
      <c r="A101" t="s">
        <v>4</v>
      </c>
      <c r="B101" t="s">
        <v>25</v>
      </c>
      <c r="C101" t="s">
        <v>481</v>
      </c>
      <c r="D101">
        <v>4.5999999999999999E-2</v>
      </c>
    </row>
    <row r="102" spans="1:4" x14ac:dyDescent="0.25">
      <c r="A102" t="s">
        <v>4</v>
      </c>
      <c r="B102" t="s">
        <v>25</v>
      </c>
      <c r="C102" t="s">
        <v>491</v>
      </c>
      <c r="D102">
        <v>4.5999999999999999E-2</v>
      </c>
    </row>
    <row r="103" spans="1:4" x14ac:dyDescent="0.25">
      <c r="A103" t="s">
        <v>4</v>
      </c>
      <c r="B103" t="s">
        <v>25</v>
      </c>
      <c r="C103" t="s">
        <v>492</v>
      </c>
      <c r="D103">
        <v>6.3E-2</v>
      </c>
    </row>
    <row r="104" spans="1:4" x14ac:dyDescent="0.25">
      <c r="A104" t="s">
        <v>4</v>
      </c>
      <c r="B104" t="s">
        <v>25</v>
      </c>
      <c r="C104" t="s">
        <v>483</v>
      </c>
      <c r="D104">
        <v>0.10100000000000001</v>
      </c>
    </row>
    <row r="105" spans="1:4" x14ac:dyDescent="0.25">
      <c r="A105" t="s">
        <v>4</v>
      </c>
      <c r="B105" t="s">
        <v>25</v>
      </c>
      <c r="C105" t="s">
        <v>494</v>
      </c>
      <c r="D105">
        <v>0.192</v>
      </c>
    </row>
    <row r="106" spans="1:4" x14ac:dyDescent="0.25">
      <c r="A106" t="s">
        <v>4</v>
      </c>
      <c r="B106" t="s">
        <v>25</v>
      </c>
      <c r="C106" t="s">
        <v>486</v>
      </c>
      <c r="D106">
        <v>0.17299999999999999</v>
      </c>
    </row>
    <row r="107" spans="1:4" x14ac:dyDescent="0.25">
      <c r="A107" t="s">
        <v>4</v>
      </c>
      <c r="B107" t="s">
        <v>25</v>
      </c>
      <c r="C107" t="s">
        <v>487</v>
      </c>
      <c r="D107">
        <v>0.156</v>
      </c>
    </row>
    <row r="108" spans="1:4" x14ac:dyDescent="0.25">
      <c r="A108" t="s">
        <v>4</v>
      </c>
      <c r="B108" t="s">
        <v>25</v>
      </c>
      <c r="C108" t="s">
        <v>493</v>
      </c>
      <c r="D108">
        <v>0.125</v>
      </c>
    </row>
    <row r="109" spans="1:4" x14ac:dyDescent="0.25">
      <c r="A109" t="s">
        <v>4</v>
      </c>
      <c r="B109" t="s">
        <v>25</v>
      </c>
      <c r="C109" t="s">
        <v>495</v>
      </c>
      <c r="D109">
        <v>0.186</v>
      </c>
    </row>
    <row r="110" spans="1:4" x14ac:dyDescent="0.25">
      <c r="A110" t="s">
        <v>4</v>
      </c>
      <c r="B110" t="s">
        <v>25</v>
      </c>
      <c r="C110" t="s">
        <v>496</v>
      </c>
      <c r="D110">
        <v>0.14000000000000001</v>
      </c>
    </row>
    <row r="111" spans="1:4" x14ac:dyDescent="0.25">
      <c r="A111" t="s">
        <v>4</v>
      </c>
      <c r="B111" t="s">
        <v>25</v>
      </c>
      <c r="C111" t="s">
        <v>497</v>
      </c>
      <c r="D111">
        <v>0.13500000000000001</v>
      </c>
    </row>
    <row r="112" spans="1:4" x14ac:dyDescent="0.25">
      <c r="A112" t="s">
        <v>4</v>
      </c>
      <c r="B112" t="s">
        <v>25</v>
      </c>
      <c r="C112" t="s">
        <v>498</v>
      </c>
      <c r="D112">
        <v>0.216</v>
      </c>
    </row>
    <row r="113" spans="1:4" x14ac:dyDescent="0.25">
      <c r="A113" t="s">
        <v>4</v>
      </c>
      <c r="B113" t="s">
        <v>25</v>
      </c>
      <c r="C113" t="s">
        <v>499</v>
      </c>
      <c r="D113">
        <v>0.24</v>
      </c>
    </row>
    <row r="114" spans="1:4" x14ac:dyDescent="0.25">
      <c r="A114" t="s">
        <v>4</v>
      </c>
      <c r="B114" t="s">
        <v>616</v>
      </c>
      <c r="C114" t="s">
        <v>479</v>
      </c>
      <c r="D114">
        <v>0.86</v>
      </c>
    </row>
    <row r="115" spans="1:4" x14ac:dyDescent="0.25">
      <c r="A115" t="s">
        <v>4</v>
      </c>
      <c r="B115" t="s">
        <v>616</v>
      </c>
      <c r="C115" t="s">
        <v>481</v>
      </c>
      <c r="D115">
        <v>0.88</v>
      </c>
    </row>
    <row r="116" spans="1:4" x14ac:dyDescent="0.25">
      <c r="A116" t="s">
        <v>4</v>
      </c>
      <c r="B116" t="s">
        <v>616</v>
      </c>
      <c r="C116" t="s">
        <v>491</v>
      </c>
      <c r="D116">
        <v>1.1000000000000001</v>
      </c>
    </row>
    <row r="117" spans="1:4" x14ac:dyDescent="0.25">
      <c r="A117" t="s">
        <v>4</v>
      </c>
      <c r="B117" t="s">
        <v>616</v>
      </c>
      <c r="C117" t="s">
        <v>492</v>
      </c>
      <c r="D117">
        <v>1.18</v>
      </c>
    </row>
    <row r="118" spans="1:4" x14ac:dyDescent="0.25">
      <c r="A118" t="s">
        <v>4</v>
      </c>
      <c r="B118" t="s">
        <v>616</v>
      </c>
      <c r="C118" t="s">
        <v>483</v>
      </c>
      <c r="D118">
        <v>0.93</v>
      </c>
    </row>
    <row r="119" spans="1:4" x14ac:dyDescent="0.25">
      <c r="A119" t="s">
        <v>4</v>
      </c>
      <c r="B119" t="s">
        <v>616</v>
      </c>
      <c r="C119" t="s">
        <v>494</v>
      </c>
      <c r="D119">
        <v>0.83</v>
      </c>
    </row>
    <row r="120" spans="1:4" x14ac:dyDescent="0.25">
      <c r="A120" t="s">
        <v>4</v>
      </c>
      <c r="B120" t="s">
        <v>616</v>
      </c>
      <c r="C120" t="s">
        <v>486</v>
      </c>
      <c r="D120">
        <v>0.54</v>
      </c>
    </row>
    <row r="121" spans="1:4" x14ac:dyDescent="0.25">
      <c r="A121" t="s">
        <v>4</v>
      </c>
      <c r="B121" t="s">
        <v>616</v>
      </c>
      <c r="C121" t="s">
        <v>487</v>
      </c>
      <c r="D121">
        <v>0.61</v>
      </c>
    </row>
    <row r="122" spans="1:4" x14ac:dyDescent="0.25">
      <c r="A122" t="s">
        <v>4</v>
      </c>
      <c r="B122" t="s">
        <v>616</v>
      </c>
      <c r="C122" t="s">
        <v>493</v>
      </c>
      <c r="D122">
        <v>0.74</v>
      </c>
    </row>
    <row r="123" spans="1:4" x14ac:dyDescent="0.25">
      <c r="A123" t="s">
        <v>4</v>
      </c>
      <c r="B123" t="s">
        <v>616</v>
      </c>
      <c r="C123" t="s">
        <v>495</v>
      </c>
      <c r="D123">
        <v>0.31</v>
      </c>
    </row>
    <row r="124" spans="1:4" x14ac:dyDescent="0.25">
      <c r="A124" t="s">
        <v>4</v>
      </c>
      <c r="B124" t="s">
        <v>616</v>
      </c>
      <c r="C124" t="s">
        <v>496</v>
      </c>
      <c r="D124">
        <v>0.69</v>
      </c>
    </row>
    <row r="125" spans="1:4" x14ac:dyDescent="0.25">
      <c r="A125" t="s">
        <v>4</v>
      </c>
      <c r="B125" t="s">
        <v>616</v>
      </c>
      <c r="C125" t="s">
        <v>497</v>
      </c>
      <c r="D125">
        <v>0.69</v>
      </c>
    </row>
    <row r="126" spans="1:4" x14ac:dyDescent="0.25">
      <c r="A126" t="s">
        <v>4</v>
      </c>
      <c r="B126" t="s">
        <v>616</v>
      </c>
      <c r="C126" t="s">
        <v>498</v>
      </c>
      <c r="D126">
        <v>0.45</v>
      </c>
    </row>
    <row r="127" spans="1:4" x14ac:dyDescent="0.25">
      <c r="A127" t="s">
        <v>4</v>
      </c>
      <c r="B127" t="s">
        <v>616</v>
      </c>
      <c r="C127" t="s">
        <v>499</v>
      </c>
      <c r="D127">
        <v>0.45</v>
      </c>
    </row>
    <row r="128" spans="1:4" x14ac:dyDescent="0.25">
      <c r="A128" t="s">
        <v>26</v>
      </c>
      <c r="B128" t="s">
        <v>5</v>
      </c>
      <c r="C128" t="s">
        <v>479</v>
      </c>
      <c r="D128">
        <v>1.4590000000000001</v>
      </c>
    </row>
    <row r="129" spans="1:4" x14ac:dyDescent="0.25">
      <c r="A129" t="s">
        <v>26</v>
      </c>
      <c r="B129" t="s">
        <v>5</v>
      </c>
      <c r="C129" t="s">
        <v>481</v>
      </c>
      <c r="D129">
        <v>1.452</v>
      </c>
    </row>
    <row r="130" spans="1:4" x14ac:dyDescent="0.25">
      <c r="A130" t="s">
        <v>26</v>
      </c>
      <c r="B130" t="s">
        <v>5</v>
      </c>
      <c r="C130" t="s">
        <v>491</v>
      </c>
      <c r="D130">
        <v>1.36</v>
      </c>
    </row>
    <row r="131" spans="1:4" x14ac:dyDescent="0.25">
      <c r="A131" t="s">
        <v>26</v>
      </c>
      <c r="B131" t="s">
        <v>5</v>
      </c>
      <c r="C131" t="s">
        <v>492</v>
      </c>
      <c r="D131">
        <v>1.363</v>
      </c>
    </row>
    <row r="132" spans="1:4" x14ac:dyDescent="0.25">
      <c r="A132" t="s">
        <v>26</v>
      </c>
      <c r="B132" t="s">
        <v>5</v>
      </c>
      <c r="C132" t="s">
        <v>483</v>
      </c>
      <c r="D132">
        <v>1.39</v>
      </c>
    </row>
    <row r="133" spans="1:4" x14ac:dyDescent="0.25">
      <c r="A133" t="s">
        <v>26</v>
      </c>
      <c r="B133" t="s">
        <v>5</v>
      </c>
      <c r="C133" t="s">
        <v>494</v>
      </c>
      <c r="D133">
        <v>1.4239999999999999</v>
      </c>
    </row>
    <row r="134" spans="1:4" x14ac:dyDescent="0.25">
      <c r="A134" t="s">
        <v>26</v>
      </c>
      <c r="B134" t="s">
        <v>5</v>
      </c>
      <c r="C134" t="s">
        <v>486</v>
      </c>
      <c r="D134">
        <v>1.472</v>
      </c>
    </row>
    <row r="135" spans="1:4" x14ac:dyDescent="0.25">
      <c r="A135" t="s">
        <v>26</v>
      </c>
      <c r="B135" t="s">
        <v>5</v>
      </c>
      <c r="C135" t="s">
        <v>487</v>
      </c>
      <c r="D135">
        <v>1.4730000000000001</v>
      </c>
    </row>
    <row r="136" spans="1:4" x14ac:dyDescent="0.25">
      <c r="A136" t="s">
        <v>26</v>
      </c>
      <c r="B136" t="s">
        <v>5</v>
      </c>
      <c r="C136" t="s">
        <v>493</v>
      </c>
      <c r="D136">
        <v>1.452</v>
      </c>
    </row>
    <row r="137" spans="1:4" x14ac:dyDescent="0.25">
      <c r="A137" t="s">
        <v>26</v>
      </c>
      <c r="B137" t="s">
        <v>5</v>
      </c>
      <c r="C137" t="s">
        <v>495</v>
      </c>
      <c r="D137">
        <v>1.46</v>
      </c>
    </row>
    <row r="138" spans="1:4" x14ac:dyDescent="0.25">
      <c r="A138" t="s">
        <v>26</v>
      </c>
      <c r="B138" t="s">
        <v>5</v>
      </c>
      <c r="C138" t="s">
        <v>496</v>
      </c>
      <c r="D138">
        <v>1.4350000000000001</v>
      </c>
    </row>
    <row r="139" spans="1:4" x14ac:dyDescent="0.25">
      <c r="A139" t="s">
        <v>26</v>
      </c>
      <c r="B139" t="s">
        <v>5</v>
      </c>
      <c r="C139" t="s">
        <v>497</v>
      </c>
      <c r="D139">
        <v>1.5149999999999999</v>
      </c>
    </row>
    <row r="140" spans="1:4" x14ac:dyDescent="0.25">
      <c r="A140" t="s">
        <v>26</v>
      </c>
      <c r="B140" t="s">
        <v>5</v>
      </c>
      <c r="C140" t="s">
        <v>498</v>
      </c>
      <c r="D140">
        <v>1.4590000000000001</v>
      </c>
    </row>
    <row r="141" spans="1:4" x14ac:dyDescent="0.25">
      <c r="A141" t="s">
        <v>26</v>
      </c>
      <c r="B141" t="s">
        <v>5</v>
      </c>
      <c r="C141" t="s">
        <v>499</v>
      </c>
      <c r="D141">
        <v>1.4690000000000001</v>
      </c>
    </row>
    <row r="142" spans="1:4" x14ac:dyDescent="0.25">
      <c r="A142" t="s">
        <v>26</v>
      </c>
      <c r="B142" t="s">
        <v>22</v>
      </c>
      <c r="C142" t="s">
        <v>479</v>
      </c>
      <c r="D142">
        <v>1.4999999999999999E-2</v>
      </c>
    </row>
    <row r="143" spans="1:4" x14ac:dyDescent="0.25">
      <c r="A143" t="s">
        <v>26</v>
      </c>
      <c r="B143" t="s">
        <v>22</v>
      </c>
      <c r="C143" t="s">
        <v>481</v>
      </c>
      <c r="D143">
        <v>1.2E-2</v>
      </c>
    </row>
    <row r="144" spans="1:4" x14ac:dyDescent="0.25">
      <c r="A144" t="s">
        <v>26</v>
      </c>
      <c r="B144" t="s">
        <v>22</v>
      </c>
      <c r="C144" t="s">
        <v>491</v>
      </c>
      <c r="D144">
        <v>1.2E-2</v>
      </c>
    </row>
    <row r="145" spans="1:4" x14ac:dyDescent="0.25">
      <c r="A145" t="s">
        <v>26</v>
      </c>
      <c r="B145" t="s">
        <v>22</v>
      </c>
      <c r="C145" t="s">
        <v>492</v>
      </c>
      <c r="D145">
        <v>1.0999999999999999E-2</v>
      </c>
    </row>
    <row r="146" spans="1:4" x14ac:dyDescent="0.25">
      <c r="A146" t="s">
        <v>26</v>
      </c>
      <c r="B146" t="s">
        <v>22</v>
      </c>
      <c r="C146" t="s">
        <v>483</v>
      </c>
      <c r="D146">
        <v>8.9999999999999993E-3</v>
      </c>
    </row>
    <row r="147" spans="1:4" x14ac:dyDescent="0.25">
      <c r="A147" t="s">
        <v>26</v>
      </c>
      <c r="B147" t="s">
        <v>22</v>
      </c>
      <c r="C147" t="s">
        <v>494</v>
      </c>
      <c r="D147">
        <v>6.0000000000000001E-3</v>
      </c>
    </row>
    <row r="148" spans="1:4" x14ac:dyDescent="0.25">
      <c r="A148" t="s">
        <v>26</v>
      </c>
      <c r="B148" t="s">
        <v>22</v>
      </c>
      <c r="C148" t="s">
        <v>486</v>
      </c>
      <c r="D148">
        <v>8.0000000000000002E-3</v>
      </c>
    </row>
    <row r="149" spans="1:4" x14ac:dyDescent="0.25">
      <c r="A149" t="s">
        <v>26</v>
      </c>
      <c r="B149" t="s">
        <v>22</v>
      </c>
      <c r="C149" t="s">
        <v>487</v>
      </c>
      <c r="D149">
        <v>7.0000000000000001E-3</v>
      </c>
    </row>
    <row r="150" spans="1:4" x14ac:dyDescent="0.25">
      <c r="A150" t="s">
        <v>26</v>
      </c>
      <c r="B150" t="s">
        <v>22</v>
      </c>
      <c r="C150" t="s">
        <v>493</v>
      </c>
      <c r="D150">
        <v>0.01</v>
      </c>
    </row>
    <row r="151" spans="1:4" x14ac:dyDescent="0.25">
      <c r="A151" t="s">
        <v>26</v>
      </c>
      <c r="B151" t="s">
        <v>22</v>
      </c>
      <c r="C151" t="s">
        <v>495</v>
      </c>
      <c r="D151">
        <v>5.0000000000000001E-3</v>
      </c>
    </row>
    <row r="152" spans="1:4" x14ac:dyDescent="0.25">
      <c r="A152" t="s">
        <v>26</v>
      </c>
      <c r="B152" t="s">
        <v>22</v>
      </c>
      <c r="C152" t="s">
        <v>496</v>
      </c>
      <c r="D152">
        <v>5.0000000000000001E-3</v>
      </c>
    </row>
    <row r="153" spans="1:4" x14ac:dyDescent="0.25">
      <c r="A153" t="s">
        <v>26</v>
      </c>
      <c r="B153" t="s">
        <v>22</v>
      </c>
      <c r="C153" t="s">
        <v>497</v>
      </c>
      <c r="D153">
        <v>5.0000000000000001E-3</v>
      </c>
    </row>
    <row r="154" spans="1:4" x14ac:dyDescent="0.25">
      <c r="A154" t="s">
        <v>26</v>
      </c>
      <c r="B154" t="s">
        <v>22</v>
      </c>
      <c r="C154" t="s">
        <v>498</v>
      </c>
      <c r="D154">
        <v>5.0000000000000001E-3</v>
      </c>
    </row>
    <row r="155" spans="1:4" x14ac:dyDescent="0.25">
      <c r="A155" t="s">
        <v>26</v>
      </c>
      <c r="B155" t="s">
        <v>22</v>
      </c>
      <c r="C155" t="s">
        <v>499</v>
      </c>
      <c r="D155">
        <v>5.0000000000000001E-3</v>
      </c>
    </row>
    <row r="156" spans="1:4" x14ac:dyDescent="0.25">
      <c r="A156" t="s">
        <v>26</v>
      </c>
      <c r="B156" t="s">
        <v>615</v>
      </c>
      <c r="C156" t="s">
        <v>479</v>
      </c>
      <c r="D156">
        <v>0.01</v>
      </c>
    </row>
    <row r="157" spans="1:4" x14ac:dyDescent="0.25">
      <c r="A157" t="s">
        <v>26</v>
      </c>
      <c r="B157" t="s">
        <v>615</v>
      </c>
      <c r="C157" t="s">
        <v>481</v>
      </c>
      <c r="D157">
        <v>8.9999999999999993E-3</v>
      </c>
    </row>
    <row r="158" spans="1:4" x14ac:dyDescent="0.25">
      <c r="A158" t="s">
        <v>26</v>
      </c>
      <c r="B158" t="s">
        <v>615</v>
      </c>
      <c r="C158" t="s">
        <v>491</v>
      </c>
      <c r="D158">
        <v>6.0000000000000001E-3</v>
      </c>
    </row>
    <row r="159" spans="1:4" x14ac:dyDescent="0.25">
      <c r="A159" t="s">
        <v>26</v>
      </c>
      <c r="B159" t="s">
        <v>615</v>
      </c>
      <c r="C159" t="s">
        <v>492</v>
      </c>
      <c r="D159">
        <v>6.0000000000000001E-3</v>
      </c>
    </row>
    <row r="160" spans="1:4" x14ac:dyDescent="0.25">
      <c r="A160" t="s">
        <v>26</v>
      </c>
      <c r="B160" t="s">
        <v>615</v>
      </c>
      <c r="C160" t="s">
        <v>483</v>
      </c>
      <c r="D160">
        <v>6.0000000000000001E-3</v>
      </c>
    </row>
    <row r="161" spans="1:4" x14ac:dyDescent="0.25">
      <c r="A161" t="s">
        <v>26</v>
      </c>
      <c r="B161" t="s">
        <v>615</v>
      </c>
      <c r="C161" t="s">
        <v>494</v>
      </c>
      <c r="D161">
        <v>6.0000000000000001E-3</v>
      </c>
    </row>
    <row r="162" spans="1:4" x14ac:dyDescent="0.25">
      <c r="A162" t="s">
        <v>26</v>
      </c>
      <c r="B162" t="s">
        <v>615</v>
      </c>
      <c r="C162" t="s">
        <v>486</v>
      </c>
      <c r="D162">
        <v>1.2999999999999999E-2</v>
      </c>
    </row>
    <row r="163" spans="1:4" x14ac:dyDescent="0.25">
      <c r="A163" t="s">
        <v>26</v>
      </c>
      <c r="B163" t="s">
        <v>615</v>
      </c>
      <c r="C163" t="s">
        <v>487</v>
      </c>
      <c r="D163">
        <v>3.0000000000000001E-3</v>
      </c>
    </row>
    <row r="164" spans="1:4" x14ac:dyDescent="0.25">
      <c r="A164" t="s">
        <v>26</v>
      </c>
      <c r="B164" t="s">
        <v>615</v>
      </c>
      <c r="C164" t="s">
        <v>493</v>
      </c>
      <c r="D164">
        <v>1.4999999999999999E-2</v>
      </c>
    </row>
    <row r="165" spans="1:4" x14ac:dyDescent="0.25">
      <c r="A165" t="s">
        <v>26</v>
      </c>
      <c r="B165" t="s">
        <v>615</v>
      </c>
      <c r="C165" t="s">
        <v>495</v>
      </c>
      <c r="D165">
        <v>8.0000000000000002E-3</v>
      </c>
    </row>
    <row r="166" spans="1:4" x14ac:dyDescent="0.25">
      <c r="A166" t="s">
        <v>26</v>
      </c>
      <c r="B166" t="s">
        <v>615</v>
      </c>
      <c r="C166" t="s">
        <v>496</v>
      </c>
      <c r="D166">
        <v>6.0000000000000001E-3</v>
      </c>
    </row>
    <row r="167" spans="1:4" x14ac:dyDescent="0.25">
      <c r="A167" t="s">
        <v>26</v>
      </c>
      <c r="B167" t="s">
        <v>615</v>
      </c>
      <c r="C167" t="s">
        <v>497</v>
      </c>
      <c r="D167">
        <v>6.0000000000000001E-3</v>
      </c>
    </row>
    <row r="168" spans="1:4" x14ac:dyDescent="0.25">
      <c r="A168" t="s">
        <v>26</v>
      </c>
      <c r="B168" t="s">
        <v>615</v>
      </c>
      <c r="C168" t="s">
        <v>498</v>
      </c>
      <c r="D168">
        <v>1.9E-2</v>
      </c>
    </row>
    <row r="169" spans="1:4" x14ac:dyDescent="0.25">
      <c r="A169" t="s">
        <v>26</v>
      </c>
      <c r="B169" t="s">
        <v>615</v>
      </c>
      <c r="C169" t="s">
        <v>499</v>
      </c>
      <c r="D169">
        <v>1.9E-2</v>
      </c>
    </row>
    <row r="170" spans="1:4" x14ac:dyDescent="0.25">
      <c r="A170" t="s">
        <v>26</v>
      </c>
      <c r="B170" t="s">
        <v>24</v>
      </c>
      <c r="C170" t="s">
        <v>479</v>
      </c>
      <c r="D170">
        <v>0.96199999999999997</v>
      </c>
    </row>
    <row r="171" spans="1:4" x14ac:dyDescent="0.25">
      <c r="A171" t="s">
        <v>26</v>
      </c>
      <c r="B171" t="s">
        <v>24</v>
      </c>
      <c r="C171" t="s">
        <v>481</v>
      </c>
      <c r="D171">
        <v>0.96099999999999997</v>
      </c>
    </row>
    <row r="172" spans="1:4" x14ac:dyDescent="0.25">
      <c r="A172" t="s">
        <v>26</v>
      </c>
      <c r="B172" t="s">
        <v>24</v>
      </c>
      <c r="C172" t="s">
        <v>491</v>
      </c>
      <c r="D172">
        <v>0.93700000000000006</v>
      </c>
    </row>
    <row r="173" spans="1:4" x14ac:dyDescent="0.25">
      <c r="A173" t="s">
        <v>26</v>
      </c>
      <c r="B173" t="s">
        <v>24</v>
      </c>
      <c r="C173" t="s">
        <v>492</v>
      </c>
      <c r="D173">
        <v>0.94</v>
      </c>
    </row>
    <row r="174" spans="1:4" x14ac:dyDescent="0.25">
      <c r="A174" t="s">
        <v>26</v>
      </c>
      <c r="B174" t="s">
        <v>24</v>
      </c>
      <c r="C174" t="s">
        <v>483</v>
      </c>
      <c r="D174">
        <v>0.92</v>
      </c>
    </row>
    <row r="175" spans="1:4" x14ac:dyDescent="0.25">
      <c r="A175" t="s">
        <v>26</v>
      </c>
      <c r="B175" t="s">
        <v>24</v>
      </c>
      <c r="C175" t="s">
        <v>494</v>
      </c>
      <c r="D175">
        <v>0.877</v>
      </c>
    </row>
    <row r="176" spans="1:4" x14ac:dyDescent="0.25">
      <c r="A176" t="s">
        <v>26</v>
      </c>
      <c r="B176" t="s">
        <v>24</v>
      </c>
      <c r="C176" t="s">
        <v>486</v>
      </c>
      <c r="D176">
        <v>0.90300000000000002</v>
      </c>
    </row>
    <row r="177" spans="1:4" x14ac:dyDescent="0.25">
      <c r="A177" t="s">
        <v>26</v>
      </c>
      <c r="B177" t="s">
        <v>24</v>
      </c>
      <c r="C177" t="s">
        <v>487</v>
      </c>
      <c r="D177">
        <v>0.89200000000000002</v>
      </c>
    </row>
    <row r="178" spans="1:4" x14ac:dyDescent="0.25">
      <c r="A178" t="s">
        <v>26</v>
      </c>
      <c r="B178" t="s">
        <v>24</v>
      </c>
      <c r="C178" t="s">
        <v>493</v>
      </c>
      <c r="D178">
        <v>0.92700000000000005</v>
      </c>
    </row>
    <row r="179" spans="1:4" x14ac:dyDescent="0.25">
      <c r="A179" t="s">
        <v>26</v>
      </c>
      <c r="B179" t="s">
        <v>24</v>
      </c>
      <c r="C179" t="s">
        <v>495</v>
      </c>
      <c r="D179">
        <v>0.876</v>
      </c>
    </row>
    <row r="180" spans="1:4" x14ac:dyDescent="0.25">
      <c r="A180" t="s">
        <v>26</v>
      </c>
      <c r="B180" t="s">
        <v>24</v>
      </c>
      <c r="C180" t="s">
        <v>496</v>
      </c>
      <c r="D180">
        <v>0.871</v>
      </c>
    </row>
    <row r="181" spans="1:4" x14ac:dyDescent="0.25">
      <c r="A181" t="s">
        <v>26</v>
      </c>
      <c r="B181" t="s">
        <v>24</v>
      </c>
      <c r="C181" t="s">
        <v>497</v>
      </c>
      <c r="D181">
        <v>0.86399999999999999</v>
      </c>
    </row>
    <row r="182" spans="1:4" x14ac:dyDescent="0.25">
      <c r="A182" t="s">
        <v>26</v>
      </c>
      <c r="B182" t="s">
        <v>24</v>
      </c>
      <c r="C182" t="s">
        <v>498</v>
      </c>
      <c r="D182">
        <v>0.85299999999999998</v>
      </c>
    </row>
    <row r="183" spans="1:4" x14ac:dyDescent="0.25">
      <c r="A183" t="s">
        <v>26</v>
      </c>
      <c r="B183" t="s">
        <v>24</v>
      </c>
      <c r="C183" t="s">
        <v>499</v>
      </c>
      <c r="D183">
        <v>0.84399999999999997</v>
      </c>
    </row>
    <row r="184" spans="1:4" x14ac:dyDescent="0.25">
      <c r="A184" t="s">
        <v>26</v>
      </c>
      <c r="B184" t="s">
        <v>616</v>
      </c>
      <c r="C184" t="s">
        <v>479</v>
      </c>
      <c r="D184">
        <v>0.39</v>
      </c>
    </row>
    <row r="185" spans="1:4" x14ac:dyDescent="0.25">
      <c r="A185" t="s">
        <v>26</v>
      </c>
      <c r="B185" t="s">
        <v>616</v>
      </c>
      <c r="C185" t="s">
        <v>481</v>
      </c>
      <c r="D185">
        <v>0.49</v>
      </c>
    </row>
    <row r="186" spans="1:4" x14ac:dyDescent="0.25">
      <c r="A186" t="s">
        <v>26</v>
      </c>
      <c r="B186" t="s">
        <v>616</v>
      </c>
      <c r="C186" t="s">
        <v>491</v>
      </c>
      <c r="D186">
        <v>0.45</v>
      </c>
    </row>
    <row r="187" spans="1:4" x14ac:dyDescent="0.25">
      <c r="A187" t="s">
        <v>26</v>
      </c>
      <c r="B187" t="s">
        <v>616</v>
      </c>
      <c r="C187" t="s">
        <v>492</v>
      </c>
      <c r="D187">
        <v>0.52</v>
      </c>
    </row>
    <row r="188" spans="1:4" x14ac:dyDescent="0.25">
      <c r="A188" t="s">
        <v>26</v>
      </c>
      <c r="B188" t="s">
        <v>616</v>
      </c>
      <c r="C188" t="s">
        <v>483</v>
      </c>
      <c r="D188">
        <v>0.54</v>
      </c>
    </row>
    <row r="189" spans="1:4" x14ac:dyDescent="0.25">
      <c r="A189" t="s">
        <v>26</v>
      </c>
      <c r="B189" t="s">
        <v>616</v>
      </c>
      <c r="C189" t="s">
        <v>494</v>
      </c>
      <c r="D189">
        <v>0.53</v>
      </c>
    </row>
    <row r="190" spans="1:4" x14ac:dyDescent="0.25">
      <c r="A190" t="s">
        <v>26</v>
      </c>
      <c r="B190" t="s">
        <v>616</v>
      </c>
      <c r="C190" t="s">
        <v>486</v>
      </c>
      <c r="D190">
        <v>0.38</v>
      </c>
    </row>
    <row r="191" spans="1:4" x14ac:dyDescent="0.25">
      <c r="A191" t="s">
        <v>26</v>
      </c>
      <c r="B191" t="s">
        <v>616</v>
      </c>
      <c r="C191" t="s">
        <v>487</v>
      </c>
      <c r="D191">
        <v>0.46</v>
      </c>
    </row>
    <row r="192" spans="1:4" x14ac:dyDescent="0.25">
      <c r="A192" t="s">
        <v>26</v>
      </c>
      <c r="B192" t="s">
        <v>616</v>
      </c>
      <c r="C192" t="s">
        <v>493</v>
      </c>
      <c r="D192">
        <v>0.44</v>
      </c>
    </row>
    <row r="193" spans="1:4" x14ac:dyDescent="0.25">
      <c r="A193" t="s">
        <v>26</v>
      </c>
      <c r="B193" t="s">
        <v>616</v>
      </c>
      <c r="C193" t="s">
        <v>495</v>
      </c>
      <c r="D193">
        <v>0.22</v>
      </c>
    </row>
    <row r="194" spans="1:4" x14ac:dyDescent="0.25">
      <c r="A194" t="s">
        <v>26</v>
      </c>
      <c r="B194" t="s">
        <v>616</v>
      </c>
      <c r="C194" t="s">
        <v>496</v>
      </c>
      <c r="D194">
        <v>0.52</v>
      </c>
    </row>
    <row r="195" spans="1:4" x14ac:dyDescent="0.25">
      <c r="A195" t="s">
        <v>26</v>
      </c>
      <c r="B195" t="s">
        <v>616</v>
      </c>
      <c r="C195" t="s">
        <v>497</v>
      </c>
      <c r="D195">
        <v>0.52</v>
      </c>
    </row>
    <row r="196" spans="1:4" x14ac:dyDescent="0.25">
      <c r="A196" t="s">
        <v>26</v>
      </c>
      <c r="B196" t="s">
        <v>616</v>
      </c>
      <c r="C196" t="s">
        <v>498</v>
      </c>
      <c r="D196">
        <v>0.3</v>
      </c>
    </row>
    <row r="197" spans="1:4" x14ac:dyDescent="0.25">
      <c r="A197" t="s">
        <v>26</v>
      </c>
      <c r="B197" t="s">
        <v>616</v>
      </c>
      <c r="C197" t="s">
        <v>499</v>
      </c>
      <c r="D197">
        <v>0.3</v>
      </c>
    </row>
    <row r="198" spans="1:4" x14ac:dyDescent="0.25">
      <c r="A198" t="s">
        <v>26</v>
      </c>
      <c r="B198" t="s">
        <v>27</v>
      </c>
      <c r="C198" t="s">
        <v>479</v>
      </c>
      <c r="D198">
        <v>-5.2830000000000004</v>
      </c>
    </row>
    <row r="199" spans="1:4" x14ac:dyDescent="0.25">
      <c r="A199" t="s">
        <v>26</v>
      </c>
      <c r="B199" t="s">
        <v>27</v>
      </c>
      <c r="C199" t="s">
        <v>481</v>
      </c>
      <c r="D199">
        <v>-5.4370000000000003</v>
      </c>
    </row>
    <row r="200" spans="1:4" x14ac:dyDescent="0.25">
      <c r="A200" t="s">
        <v>26</v>
      </c>
      <c r="B200" t="s">
        <v>27</v>
      </c>
      <c r="C200" t="s">
        <v>491</v>
      </c>
      <c r="D200">
        <v>-5.5759999999999996</v>
      </c>
    </row>
    <row r="201" spans="1:4" x14ac:dyDescent="0.25">
      <c r="A201" t="s">
        <v>26</v>
      </c>
      <c r="B201" t="s">
        <v>27</v>
      </c>
      <c r="C201" t="s">
        <v>492</v>
      </c>
      <c r="D201">
        <v>-5.58</v>
      </c>
    </row>
    <row r="202" spans="1:4" x14ac:dyDescent="0.25">
      <c r="A202" t="s">
        <v>26</v>
      </c>
      <c r="B202" t="s">
        <v>27</v>
      </c>
      <c r="C202" t="s">
        <v>483</v>
      </c>
      <c r="D202">
        <v>-5.5910000000000002</v>
      </c>
    </row>
    <row r="203" spans="1:4" x14ac:dyDescent="0.25">
      <c r="A203" t="s">
        <v>26</v>
      </c>
      <c r="B203" t="s">
        <v>27</v>
      </c>
      <c r="C203" t="s">
        <v>494</v>
      </c>
      <c r="D203">
        <v>-5.7619999999999996</v>
      </c>
    </row>
    <row r="204" spans="1:4" x14ac:dyDescent="0.25">
      <c r="A204" t="s">
        <v>26</v>
      </c>
      <c r="B204" t="s">
        <v>27</v>
      </c>
      <c r="C204" t="s">
        <v>486</v>
      </c>
      <c r="D204">
        <v>-6.7729999999999997</v>
      </c>
    </row>
    <row r="205" spans="1:4" x14ac:dyDescent="0.25">
      <c r="A205" t="s">
        <v>26</v>
      </c>
      <c r="B205" t="s">
        <v>27</v>
      </c>
      <c r="C205" t="s">
        <v>487</v>
      </c>
      <c r="D205">
        <v>-7.0590000000000002</v>
      </c>
    </row>
    <row r="206" spans="1:4" x14ac:dyDescent="0.25">
      <c r="A206" t="s">
        <v>26</v>
      </c>
      <c r="B206" t="s">
        <v>27</v>
      </c>
      <c r="C206" t="s">
        <v>493</v>
      </c>
      <c r="D206">
        <v>-6.2510000000000003</v>
      </c>
    </row>
    <row r="207" spans="1:4" x14ac:dyDescent="0.25">
      <c r="A207" t="s">
        <v>26</v>
      </c>
      <c r="B207" t="s">
        <v>27</v>
      </c>
      <c r="C207" t="s">
        <v>495</v>
      </c>
      <c r="D207">
        <v>-6.8840000000000003</v>
      </c>
    </row>
    <row r="208" spans="1:4" x14ac:dyDescent="0.25">
      <c r="A208" t="s">
        <v>26</v>
      </c>
      <c r="B208" t="s">
        <v>27</v>
      </c>
      <c r="C208" t="s">
        <v>496</v>
      </c>
      <c r="D208">
        <v>-7.4960000000000004</v>
      </c>
    </row>
    <row r="209" spans="1:4" x14ac:dyDescent="0.25">
      <c r="A209" t="s">
        <v>26</v>
      </c>
      <c r="B209" t="s">
        <v>27</v>
      </c>
      <c r="C209" t="s">
        <v>497</v>
      </c>
      <c r="D209">
        <v>-8.423</v>
      </c>
    </row>
    <row r="210" spans="1:4" x14ac:dyDescent="0.25">
      <c r="A210" t="s">
        <v>26</v>
      </c>
      <c r="B210" t="s">
        <v>27</v>
      </c>
      <c r="C210" t="s">
        <v>498</v>
      </c>
      <c r="D210">
        <v>-8.5730000000000004</v>
      </c>
    </row>
    <row r="211" spans="1:4" x14ac:dyDescent="0.25">
      <c r="A211" t="s">
        <v>26</v>
      </c>
      <c r="B211" t="s">
        <v>27</v>
      </c>
      <c r="C211" t="s">
        <v>499</v>
      </c>
      <c r="D211">
        <v>-8.6560000000000006</v>
      </c>
    </row>
    <row r="212" spans="1:4" x14ac:dyDescent="0.25">
      <c r="A212" t="s">
        <v>28</v>
      </c>
      <c r="B212" t="s">
        <v>5</v>
      </c>
      <c r="C212" t="s">
        <v>479</v>
      </c>
      <c r="D212">
        <v>1.4590000000000001</v>
      </c>
    </row>
    <row r="213" spans="1:4" x14ac:dyDescent="0.25">
      <c r="A213" t="s">
        <v>28</v>
      </c>
      <c r="B213" t="s">
        <v>5</v>
      </c>
      <c r="C213" t="s">
        <v>481</v>
      </c>
      <c r="D213">
        <v>1.452</v>
      </c>
    </row>
    <row r="214" spans="1:4" x14ac:dyDescent="0.25">
      <c r="A214" t="s">
        <v>28</v>
      </c>
      <c r="B214" t="s">
        <v>5</v>
      </c>
      <c r="C214" t="s">
        <v>491</v>
      </c>
      <c r="D214">
        <v>1.36</v>
      </c>
    </row>
    <row r="215" spans="1:4" x14ac:dyDescent="0.25">
      <c r="A215" t="s">
        <v>28</v>
      </c>
      <c r="B215" t="s">
        <v>5</v>
      </c>
      <c r="C215" t="s">
        <v>492</v>
      </c>
      <c r="D215">
        <v>1.363</v>
      </c>
    </row>
    <row r="216" spans="1:4" x14ac:dyDescent="0.25">
      <c r="A216" t="s">
        <v>28</v>
      </c>
      <c r="B216" t="s">
        <v>5</v>
      </c>
      <c r="C216" t="s">
        <v>483</v>
      </c>
      <c r="D216">
        <v>1.39</v>
      </c>
    </row>
    <row r="217" spans="1:4" x14ac:dyDescent="0.25">
      <c r="A217" t="s">
        <v>28</v>
      </c>
      <c r="B217" t="s">
        <v>5</v>
      </c>
      <c r="C217" t="s">
        <v>494</v>
      </c>
      <c r="D217">
        <v>1.4239999999999999</v>
      </c>
    </row>
    <row r="218" spans="1:4" x14ac:dyDescent="0.25">
      <c r="A218" t="s">
        <v>28</v>
      </c>
      <c r="B218" t="s">
        <v>5</v>
      </c>
      <c r="C218" t="s">
        <v>486</v>
      </c>
      <c r="D218">
        <v>1.472</v>
      </c>
    </row>
    <row r="219" spans="1:4" x14ac:dyDescent="0.25">
      <c r="A219" t="s">
        <v>28</v>
      </c>
      <c r="B219" t="s">
        <v>5</v>
      </c>
      <c r="C219" t="s">
        <v>487</v>
      </c>
      <c r="D219">
        <v>1.4730000000000001</v>
      </c>
    </row>
    <row r="220" spans="1:4" x14ac:dyDescent="0.25">
      <c r="A220" t="s">
        <v>28</v>
      </c>
      <c r="B220" t="s">
        <v>5</v>
      </c>
      <c r="C220" t="s">
        <v>493</v>
      </c>
      <c r="D220">
        <v>1.452</v>
      </c>
    </row>
    <row r="221" spans="1:4" x14ac:dyDescent="0.25">
      <c r="A221" t="s">
        <v>28</v>
      </c>
      <c r="B221" t="s">
        <v>5</v>
      </c>
      <c r="C221" t="s">
        <v>495</v>
      </c>
      <c r="D221">
        <v>1.46</v>
      </c>
    </row>
    <row r="222" spans="1:4" x14ac:dyDescent="0.25">
      <c r="A222" t="s">
        <v>28</v>
      </c>
      <c r="B222" t="s">
        <v>5</v>
      </c>
      <c r="C222" t="s">
        <v>496</v>
      </c>
      <c r="D222">
        <v>1.1519999999999999</v>
      </c>
    </row>
    <row r="223" spans="1:4" x14ac:dyDescent="0.25">
      <c r="A223" t="s">
        <v>28</v>
      </c>
      <c r="B223" t="s">
        <v>5</v>
      </c>
      <c r="C223" t="s">
        <v>497</v>
      </c>
      <c r="D223">
        <v>1.204</v>
      </c>
    </row>
    <row r="224" spans="1:4" x14ac:dyDescent="0.25">
      <c r="A224" t="s">
        <v>28</v>
      </c>
      <c r="B224" t="s">
        <v>5</v>
      </c>
      <c r="C224" t="s">
        <v>498</v>
      </c>
      <c r="D224">
        <v>1.1599999999999999</v>
      </c>
    </row>
    <row r="225" spans="1:4" x14ac:dyDescent="0.25">
      <c r="A225" t="s">
        <v>28</v>
      </c>
      <c r="B225" t="s">
        <v>5</v>
      </c>
      <c r="C225" t="s">
        <v>499</v>
      </c>
      <c r="D225">
        <v>1.133</v>
      </c>
    </row>
    <row r="226" spans="1:4" x14ac:dyDescent="0.25">
      <c r="A226" t="s">
        <v>28</v>
      </c>
      <c r="B226" t="s">
        <v>29</v>
      </c>
      <c r="C226" t="s">
        <v>479</v>
      </c>
      <c r="D226">
        <v>-0.68600000000000005</v>
      </c>
    </row>
    <row r="227" spans="1:4" x14ac:dyDescent="0.25">
      <c r="A227" t="s">
        <v>28</v>
      </c>
      <c r="B227" t="s">
        <v>29</v>
      </c>
      <c r="C227" t="s">
        <v>481</v>
      </c>
      <c r="D227">
        <v>-1.127</v>
      </c>
    </row>
    <row r="228" spans="1:4" x14ac:dyDescent="0.25">
      <c r="A228" t="s">
        <v>28</v>
      </c>
      <c r="B228" t="s">
        <v>29</v>
      </c>
      <c r="C228" t="s">
        <v>491</v>
      </c>
      <c r="D228">
        <v>-1.034</v>
      </c>
    </row>
    <row r="229" spans="1:4" x14ac:dyDescent="0.25">
      <c r="A229" t="s">
        <v>28</v>
      </c>
      <c r="B229" t="s">
        <v>29</v>
      </c>
      <c r="C229" t="s">
        <v>492</v>
      </c>
      <c r="D229">
        <v>-1.02</v>
      </c>
    </row>
    <row r="230" spans="1:4" x14ac:dyDescent="0.25">
      <c r="A230" t="s">
        <v>28</v>
      </c>
      <c r="B230" t="s">
        <v>29</v>
      </c>
      <c r="C230" t="s">
        <v>483</v>
      </c>
      <c r="D230">
        <v>-1.4630000000000001</v>
      </c>
    </row>
    <row r="231" spans="1:4" x14ac:dyDescent="0.25">
      <c r="A231" t="s">
        <v>28</v>
      </c>
      <c r="B231" t="s">
        <v>29</v>
      </c>
      <c r="C231" t="s">
        <v>494</v>
      </c>
      <c r="D231">
        <v>-1.272</v>
      </c>
    </row>
    <row r="232" spans="1:4" x14ac:dyDescent="0.25">
      <c r="A232" t="s">
        <v>28</v>
      </c>
      <c r="B232" t="s">
        <v>29</v>
      </c>
      <c r="C232" t="s">
        <v>486</v>
      </c>
      <c r="D232">
        <v>-2.415</v>
      </c>
    </row>
    <row r="233" spans="1:4" x14ac:dyDescent="0.25">
      <c r="A233" t="s">
        <v>28</v>
      </c>
      <c r="B233" t="s">
        <v>29</v>
      </c>
      <c r="C233" t="s">
        <v>487</v>
      </c>
      <c r="D233">
        <v>-2.6840000000000002</v>
      </c>
    </row>
    <row r="234" spans="1:4" x14ac:dyDescent="0.25">
      <c r="A234" t="s">
        <v>28</v>
      </c>
      <c r="B234" t="s">
        <v>29</v>
      </c>
      <c r="C234" t="s">
        <v>493</v>
      </c>
      <c r="D234">
        <v>-2.2530000000000001</v>
      </c>
    </row>
    <row r="235" spans="1:4" x14ac:dyDescent="0.25">
      <c r="A235" t="s">
        <v>28</v>
      </c>
      <c r="B235" t="s">
        <v>29</v>
      </c>
      <c r="C235" t="s">
        <v>495</v>
      </c>
      <c r="D235">
        <v>-2.198</v>
      </c>
    </row>
    <row r="236" spans="1:4" x14ac:dyDescent="0.25">
      <c r="A236" t="s">
        <v>28</v>
      </c>
      <c r="B236" t="s">
        <v>29</v>
      </c>
      <c r="C236" t="s">
        <v>496</v>
      </c>
      <c r="D236">
        <v>-2.7730000000000001</v>
      </c>
    </row>
    <row r="237" spans="1:4" x14ac:dyDescent="0.25">
      <c r="A237" t="s">
        <v>28</v>
      </c>
      <c r="B237" t="s">
        <v>29</v>
      </c>
      <c r="C237" t="s">
        <v>497</v>
      </c>
      <c r="D237">
        <v>-3.056</v>
      </c>
    </row>
    <row r="238" spans="1:4" x14ac:dyDescent="0.25">
      <c r="A238" t="s">
        <v>28</v>
      </c>
      <c r="B238" t="s">
        <v>29</v>
      </c>
      <c r="C238" t="s">
        <v>498</v>
      </c>
      <c r="D238">
        <v>-3.4060000000000001</v>
      </c>
    </row>
    <row r="239" spans="1:4" x14ac:dyDescent="0.25">
      <c r="A239" t="s">
        <v>28</v>
      </c>
      <c r="B239" t="s">
        <v>29</v>
      </c>
      <c r="C239" t="s">
        <v>499</v>
      </c>
      <c r="D239">
        <v>-3.8940000000000001</v>
      </c>
    </row>
    <row r="240" spans="1:4" x14ac:dyDescent="0.25">
      <c r="A240" t="s">
        <v>28</v>
      </c>
      <c r="B240" t="s">
        <v>22</v>
      </c>
      <c r="C240" t="s">
        <v>479</v>
      </c>
      <c r="D240">
        <v>1.4999999999999999E-2</v>
      </c>
    </row>
    <row r="241" spans="1:4" x14ac:dyDescent="0.25">
      <c r="A241" t="s">
        <v>28</v>
      </c>
      <c r="B241" t="s">
        <v>22</v>
      </c>
      <c r="C241" t="s">
        <v>481</v>
      </c>
      <c r="D241">
        <v>1.2E-2</v>
      </c>
    </row>
    <row r="242" spans="1:4" x14ac:dyDescent="0.25">
      <c r="A242" t="s">
        <v>28</v>
      </c>
      <c r="B242" t="s">
        <v>22</v>
      </c>
      <c r="C242" t="s">
        <v>491</v>
      </c>
      <c r="D242">
        <v>1.2E-2</v>
      </c>
    </row>
    <row r="243" spans="1:4" x14ac:dyDescent="0.25">
      <c r="A243" t="s">
        <v>28</v>
      </c>
      <c r="B243" t="s">
        <v>22</v>
      </c>
      <c r="C243" t="s">
        <v>492</v>
      </c>
      <c r="D243">
        <v>1.0999999999999999E-2</v>
      </c>
    </row>
    <row r="244" spans="1:4" x14ac:dyDescent="0.25">
      <c r="A244" t="s">
        <v>28</v>
      </c>
      <c r="B244" t="s">
        <v>22</v>
      </c>
      <c r="C244" t="s">
        <v>483</v>
      </c>
      <c r="D244">
        <v>8.9999999999999993E-3</v>
      </c>
    </row>
    <row r="245" spans="1:4" x14ac:dyDescent="0.25">
      <c r="A245" t="s">
        <v>28</v>
      </c>
      <c r="B245" t="s">
        <v>22</v>
      </c>
      <c r="C245" t="s">
        <v>494</v>
      </c>
      <c r="D245">
        <v>6.0000000000000001E-3</v>
      </c>
    </row>
    <row r="246" spans="1:4" x14ac:dyDescent="0.25">
      <c r="A246" t="s">
        <v>28</v>
      </c>
      <c r="B246" t="s">
        <v>22</v>
      </c>
      <c r="C246" t="s">
        <v>486</v>
      </c>
      <c r="D246">
        <v>8.0000000000000002E-3</v>
      </c>
    </row>
    <row r="247" spans="1:4" x14ac:dyDescent="0.25">
      <c r="A247" t="s">
        <v>28</v>
      </c>
      <c r="B247" t="s">
        <v>22</v>
      </c>
      <c r="C247" t="s">
        <v>487</v>
      </c>
      <c r="D247">
        <v>7.0000000000000001E-3</v>
      </c>
    </row>
    <row r="248" spans="1:4" x14ac:dyDescent="0.25">
      <c r="A248" t="s">
        <v>28</v>
      </c>
      <c r="B248" t="s">
        <v>22</v>
      </c>
      <c r="C248" t="s">
        <v>493</v>
      </c>
      <c r="D248">
        <v>0.01</v>
      </c>
    </row>
    <row r="249" spans="1:4" x14ac:dyDescent="0.25">
      <c r="A249" t="s">
        <v>28</v>
      </c>
      <c r="B249" t="s">
        <v>22</v>
      </c>
      <c r="C249" t="s">
        <v>495</v>
      </c>
      <c r="D249">
        <v>5.0000000000000001E-3</v>
      </c>
    </row>
    <row r="250" spans="1:4" x14ac:dyDescent="0.25">
      <c r="A250" t="s">
        <v>28</v>
      </c>
      <c r="B250" t="s">
        <v>22</v>
      </c>
      <c r="C250" t="s">
        <v>496</v>
      </c>
      <c r="D250">
        <v>5.0000000000000001E-3</v>
      </c>
    </row>
    <row r="251" spans="1:4" x14ac:dyDescent="0.25">
      <c r="A251" t="s">
        <v>28</v>
      </c>
      <c r="B251" t="s">
        <v>22</v>
      </c>
      <c r="C251" t="s">
        <v>497</v>
      </c>
      <c r="D251">
        <v>5.0000000000000001E-3</v>
      </c>
    </row>
    <row r="252" spans="1:4" x14ac:dyDescent="0.25">
      <c r="A252" t="s">
        <v>28</v>
      </c>
      <c r="B252" t="s">
        <v>22</v>
      </c>
      <c r="C252" t="s">
        <v>498</v>
      </c>
      <c r="D252">
        <v>5.0000000000000001E-3</v>
      </c>
    </row>
    <row r="253" spans="1:4" x14ac:dyDescent="0.25">
      <c r="A253" t="s">
        <v>28</v>
      </c>
      <c r="B253" t="s">
        <v>22</v>
      </c>
      <c r="C253" t="s">
        <v>499</v>
      </c>
      <c r="D253">
        <v>5.0000000000000001E-3</v>
      </c>
    </row>
    <row r="254" spans="1:4" x14ac:dyDescent="0.25">
      <c r="A254" t="s">
        <v>28</v>
      </c>
      <c r="B254" t="s">
        <v>615</v>
      </c>
      <c r="C254" t="s">
        <v>479</v>
      </c>
      <c r="D254">
        <v>0.01</v>
      </c>
    </row>
    <row r="255" spans="1:4" x14ac:dyDescent="0.25">
      <c r="A255" t="s">
        <v>28</v>
      </c>
      <c r="B255" t="s">
        <v>615</v>
      </c>
      <c r="C255" t="s">
        <v>481</v>
      </c>
      <c r="D255">
        <v>8.9999999999999993E-3</v>
      </c>
    </row>
    <row r="256" spans="1:4" x14ac:dyDescent="0.25">
      <c r="A256" t="s">
        <v>28</v>
      </c>
      <c r="B256" t="s">
        <v>615</v>
      </c>
      <c r="C256" t="s">
        <v>491</v>
      </c>
      <c r="D256">
        <v>6.0000000000000001E-3</v>
      </c>
    </row>
    <row r="257" spans="1:4" x14ac:dyDescent="0.25">
      <c r="A257" t="s">
        <v>28</v>
      </c>
      <c r="B257" t="s">
        <v>615</v>
      </c>
      <c r="C257" t="s">
        <v>492</v>
      </c>
      <c r="D257">
        <v>6.0000000000000001E-3</v>
      </c>
    </row>
    <row r="258" spans="1:4" x14ac:dyDescent="0.25">
      <c r="A258" t="s">
        <v>28</v>
      </c>
      <c r="B258" t="s">
        <v>615</v>
      </c>
      <c r="C258" t="s">
        <v>483</v>
      </c>
      <c r="D258">
        <v>6.0000000000000001E-3</v>
      </c>
    </row>
    <row r="259" spans="1:4" x14ac:dyDescent="0.25">
      <c r="A259" t="s">
        <v>28</v>
      </c>
      <c r="B259" t="s">
        <v>615</v>
      </c>
      <c r="C259" t="s">
        <v>494</v>
      </c>
      <c r="D259">
        <v>6.0000000000000001E-3</v>
      </c>
    </row>
    <row r="260" spans="1:4" x14ac:dyDescent="0.25">
      <c r="A260" t="s">
        <v>28</v>
      </c>
      <c r="B260" t="s">
        <v>615</v>
      </c>
      <c r="C260" t="s">
        <v>486</v>
      </c>
      <c r="D260">
        <v>1.2999999999999999E-2</v>
      </c>
    </row>
    <row r="261" spans="1:4" x14ac:dyDescent="0.25">
      <c r="A261" t="s">
        <v>28</v>
      </c>
      <c r="B261" t="s">
        <v>615</v>
      </c>
      <c r="C261" t="s">
        <v>487</v>
      </c>
      <c r="D261">
        <v>3.0000000000000001E-3</v>
      </c>
    </row>
    <row r="262" spans="1:4" x14ac:dyDescent="0.25">
      <c r="A262" t="s">
        <v>28</v>
      </c>
      <c r="B262" t="s">
        <v>615</v>
      </c>
      <c r="C262" t="s">
        <v>493</v>
      </c>
      <c r="D262">
        <v>1.4999999999999999E-2</v>
      </c>
    </row>
    <row r="263" spans="1:4" x14ac:dyDescent="0.25">
      <c r="A263" t="s">
        <v>28</v>
      </c>
      <c r="B263" t="s">
        <v>615</v>
      </c>
      <c r="C263" t="s">
        <v>495</v>
      </c>
      <c r="D263">
        <v>8.0000000000000002E-3</v>
      </c>
    </row>
    <row r="264" spans="1:4" x14ac:dyDescent="0.25">
      <c r="A264" t="s">
        <v>28</v>
      </c>
      <c r="B264" t="s">
        <v>615</v>
      </c>
      <c r="C264" t="s">
        <v>496</v>
      </c>
      <c r="D264">
        <v>6.0000000000000001E-3</v>
      </c>
    </row>
    <row r="265" spans="1:4" x14ac:dyDescent="0.25">
      <c r="A265" t="s">
        <v>28</v>
      </c>
      <c r="B265" t="s">
        <v>615</v>
      </c>
      <c r="C265" t="s">
        <v>497</v>
      </c>
      <c r="D265">
        <v>6.0000000000000001E-3</v>
      </c>
    </row>
    <row r="266" spans="1:4" x14ac:dyDescent="0.25">
      <c r="A266" t="s">
        <v>28</v>
      </c>
      <c r="B266" t="s">
        <v>615</v>
      </c>
      <c r="C266" t="s">
        <v>498</v>
      </c>
      <c r="D266">
        <v>1.9E-2</v>
      </c>
    </row>
    <row r="267" spans="1:4" x14ac:dyDescent="0.25">
      <c r="A267" t="s">
        <v>28</v>
      </c>
      <c r="B267" t="s">
        <v>615</v>
      </c>
      <c r="C267" t="s">
        <v>499</v>
      </c>
      <c r="D267">
        <v>1.9E-2</v>
      </c>
    </row>
    <row r="268" spans="1:4" x14ac:dyDescent="0.25">
      <c r="A268" t="s">
        <v>28</v>
      </c>
      <c r="B268" t="s">
        <v>24</v>
      </c>
      <c r="C268" t="s">
        <v>479</v>
      </c>
      <c r="D268">
        <v>0.96199999999999997</v>
      </c>
    </row>
    <row r="269" spans="1:4" x14ac:dyDescent="0.25">
      <c r="A269" t="s">
        <v>28</v>
      </c>
      <c r="B269" t="s">
        <v>24</v>
      </c>
      <c r="C269" t="s">
        <v>481</v>
      </c>
      <c r="D269">
        <v>0.96099999999999997</v>
      </c>
    </row>
    <row r="270" spans="1:4" x14ac:dyDescent="0.25">
      <c r="A270" t="s">
        <v>28</v>
      </c>
      <c r="B270" t="s">
        <v>24</v>
      </c>
      <c r="C270" t="s">
        <v>491</v>
      </c>
      <c r="D270">
        <v>0.93700000000000006</v>
      </c>
    </row>
    <row r="271" spans="1:4" x14ac:dyDescent="0.25">
      <c r="A271" t="s">
        <v>28</v>
      </c>
      <c r="B271" t="s">
        <v>24</v>
      </c>
      <c r="C271" t="s">
        <v>492</v>
      </c>
      <c r="D271">
        <v>0.94</v>
      </c>
    </row>
    <row r="272" spans="1:4" x14ac:dyDescent="0.25">
      <c r="A272" t="s">
        <v>28</v>
      </c>
      <c r="B272" t="s">
        <v>24</v>
      </c>
      <c r="C272" t="s">
        <v>483</v>
      </c>
      <c r="D272">
        <v>0.92</v>
      </c>
    </row>
    <row r="273" spans="1:4" x14ac:dyDescent="0.25">
      <c r="A273" t="s">
        <v>28</v>
      </c>
      <c r="B273" t="s">
        <v>24</v>
      </c>
      <c r="C273" t="s">
        <v>494</v>
      </c>
      <c r="D273">
        <v>0.877</v>
      </c>
    </row>
    <row r="274" spans="1:4" x14ac:dyDescent="0.25">
      <c r="A274" t="s">
        <v>28</v>
      </c>
      <c r="B274" t="s">
        <v>24</v>
      </c>
      <c r="C274" t="s">
        <v>486</v>
      </c>
      <c r="D274">
        <v>0.90300000000000002</v>
      </c>
    </row>
    <row r="275" spans="1:4" x14ac:dyDescent="0.25">
      <c r="A275" t="s">
        <v>28</v>
      </c>
      <c r="B275" t="s">
        <v>24</v>
      </c>
      <c r="C275" t="s">
        <v>487</v>
      </c>
      <c r="D275">
        <v>0.89200000000000002</v>
      </c>
    </row>
    <row r="276" spans="1:4" x14ac:dyDescent="0.25">
      <c r="A276" t="s">
        <v>28</v>
      </c>
      <c r="B276" t="s">
        <v>24</v>
      </c>
      <c r="C276" t="s">
        <v>493</v>
      </c>
      <c r="D276">
        <v>0.92700000000000005</v>
      </c>
    </row>
    <row r="277" spans="1:4" x14ac:dyDescent="0.25">
      <c r="A277" t="s">
        <v>28</v>
      </c>
      <c r="B277" t="s">
        <v>24</v>
      </c>
      <c r="C277" t="s">
        <v>495</v>
      </c>
      <c r="D277">
        <v>0.876</v>
      </c>
    </row>
    <row r="278" spans="1:4" x14ac:dyDescent="0.25">
      <c r="A278" t="s">
        <v>28</v>
      </c>
      <c r="B278" t="s">
        <v>24</v>
      </c>
      <c r="C278" t="s">
        <v>496</v>
      </c>
      <c r="D278">
        <v>0.871</v>
      </c>
    </row>
    <row r="279" spans="1:4" x14ac:dyDescent="0.25">
      <c r="A279" t="s">
        <v>28</v>
      </c>
      <c r="B279" t="s">
        <v>24</v>
      </c>
      <c r="C279" t="s">
        <v>497</v>
      </c>
      <c r="D279">
        <v>0.86399999999999999</v>
      </c>
    </row>
    <row r="280" spans="1:4" x14ac:dyDescent="0.25">
      <c r="A280" t="s">
        <v>28</v>
      </c>
      <c r="B280" t="s">
        <v>24</v>
      </c>
      <c r="C280" t="s">
        <v>498</v>
      </c>
      <c r="D280">
        <v>0.85299999999999998</v>
      </c>
    </row>
    <row r="281" spans="1:4" x14ac:dyDescent="0.25">
      <c r="A281" t="s">
        <v>28</v>
      </c>
      <c r="B281" t="s">
        <v>24</v>
      </c>
      <c r="C281" t="s">
        <v>499</v>
      </c>
      <c r="D281">
        <v>0.84399999999999997</v>
      </c>
    </row>
    <row r="282" spans="1:4" x14ac:dyDescent="0.25">
      <c r="A282" t="s">
        <v>28</v>
      </c>
      <c r="B282" t="s">
        <v>616</v>
      </c>
      <c r="C282" t="s">
        <v>479</v>
      </c>
      <c r="D282">
        <v>0.39</v>
      </c>
    </row>
    <row r="283" spans="1:4" x14ac:dyDescent="0.25">
      <c r="A283" t="s">
        <v>28</v>
      </c>
      <c r="B283" t="s">
        <v>616</v>
      </c>
      <c r="C283" t="s">
        <v>481</v>
      </c>
      <c r="D283">
        <v>0.49</v>
      </c>
    </row>
    <row r="284" spans="1:4" x14ac:dyDescent="0.25">
      <c r="A284" t="s">
        <v>28</v>
      </c>
      <c r="B284" t="s">
        <v>616</v>
      </c>
      <c r="C284" t="s">
        <v>491</v>
      </c>
      <c r="D284">
        <v>0.45</v>
      </c>
    </row>
    <row r="285" spans="1:4" x14ac:dyDescent="0.25">
      <c r="A285" t="s">
        <v>28</v>
      </c>
      <c r="B285" t="s">
        <v>616</v>
      </c>
      <c r="C285" t="s">
        <v>492</v>
      </c>
      <c r="D285">
        <v>0.52</v>
      </c>
    </row>
    <row r="286" spans="1:4" x14ac:dyDescent="0.25">
      <c r="A286" t="s">
        <v>28</v>
      </c>
      <c r="B286" t="s">
        <v>616</v>
      </c>
      <c r="C286" t="s">
        <v>483</v>
      </c>
      <c r="D286">
        <v>0.54</v>
      </c>
    </row>
    <row r="287" spans="1:4" x14ac:dyDescent="0.25">
      <c r="A287" t="s">
        <v>28</v>
      </c>
      <c r="B287" t="s">
        <v>616</v>
      </c>
      <c r="C287" t="s">
        <v>494</v>
      </c>
      <c r="D287">
        <v>0.53</v>
      </c>
    </row>
    <row r="288" spans="1:4" x14ac:dyDescent="0.25">
      <c r="A288" t="s">
        <v>28</v>
      </c>
      <c r="B288" t="s">
        <v>616</v>
      </c>
      <c r="C288" t="s">
        <v>486</v>
      </c>
      <c r="D288">
        <v>0.38</v>
      </c>
    </row>
    <row r="289" spans="1:4" x14ac:dyDescent="0.25">
      <c r="A289" t="s">
        <v>28</v>
      </c>
      <c r="B289" t="s">
        <v>616</v>
      </c>
      <c r="C289" t="s">
        <v>487</v>
      </c>
      <c r="D289">
        <v>0.46</v>
      </c>
    </row>
    <row r="290" spans="1:4" x14ac:dyDescent="0.25">
      <c r="A290" t="s">
        <v>28</v>
      </c>
      <c r="B290" t="s">
        <v>616</v>
      </c>
      <c r="C290" t="s">
        <v>493</v>
      </c>
      <c r="D290">
        <v>0.44</v>
      </c>
    </row>
    <row r="291" spans="1:4" x14ac:dyDescent="0.25">
      <c r="A291" t="s">
        <v>28</v>
      </c>
      <c r="B291" t="s">
        <v>616</v>
      </c>
      <c r="C291" t="s">
        <v>495</v>
      </c>
      <c r="D291">
        <v>0.22</v>
      </c>
    </row>
    <row r="292" spans="1:4" x14ac:dyDescent="0.25">
      <c r="A292" t="s">
        <v>28</v>
      </c>
      <c r="B292" t="s">
        <v>616</v>
      </c>
      <c r="C292" t="s">
        <v>496</v>
      </c>
      <c r="D292">
        <v>0.52</v>
      </c>
    </row>
    <row r="293" spans="1:4" x14ac:dyDescent="0.25">
      <c r="A293" t="s">
        <v>28</v>
      </c>
      <c r="B293" t="s">
        <v>616</v>
      </c>
      <c r="C293" t="s">
        <v>497</v>
      </c>
      <c r="D293">
        <v>0.52</v>
      </c>
    </row>
    <row r="294" spans="1:4" x14ac:dyDescent="0.25">
      <c r="A294" t="s">
        <v>28</v>
      </c>
      <c r="B294" t="s">
        <v>616</v>
      </c>
      <c r="C294" t="s">
        <v>498</v>
      </c>
      <c r="D294">
        <v>0.3</v>
      </c>
    </row>
    <row r="295" spans="1:4" x14ac:dyDescent="0.25">
      <c r="A295" t="s">
        <v>28</v>
      </c>
      <c r="B295" t="s">
        <v>616</v>
      </c>
      <c r="C295" t="s">
        <v>499</v>
      </c>
      <c r="D295">
        <v>0.3</v>
      </c>
    </row>
    <row r="296" spans="1:4" x14ac:dyDescent="0.25">
      <c r="A296" t="s">
        <v>28</v>
      </c>
      <c r="B296" t="s">
        <v>27</v>
      </c>
      <c r="C296" t="s">
        <v>479</v>
      </c>
      <c r="D296">
        <v>-4.5970000000000004</v>
      </c>
    </row>
    <row r="297" spans="1:4" x14ac:dyDescent="0.25">
      <c r="A297" t="s">
        <v>28</v>
      </c>
      <c r="B297" t="s">
        <v>27</v>
      </c>
      <c r="C297" t="s">
        <v>481</v>
      </c>
      <c r="D297">
        <v>-4.3099999999999996</v>
      </c>
    </row>
    <row r="298" spans="1:4" x14ac:dyDescent="0.25">
      <c r="A298" t="s">
        <v>28</v>
      </c>
      <c r="B298" t="s">
        <v>27</v>
      </c>
      <c r="C298" t="s">
        <v>491</v>
      </c>
      <c r="D298">
        <v>-4.5419999999999998</v>
      </c>
    </row>
    <row r="299" spans="1:4" x14ac:dyDescent="0.25">
      <c r="A299" t="s">
        <v>28</v>
      </c>
      <c r="B299" t="s">
        <v>27</v>
      </c>
      <c r="C299" t="s">
        <v>492</v>
      </c>
      <c r="D299">
        <v>-4.5599999999999996</v>
      </c>
    </row>
    <row r="300" spans="1:4" x14ac:dyDescent="0.25">
      <c r="A300" t="s">
        <v>28</v>
      </c>
      <c r="B300" t="s">
        <v>27</v>
      </c>
      <c r="C300" t="s">
        <v>483</v>
      </c>
      <c r="D300">
        <v>-4.1280000000000001</v>
      </c>
    </row>
    <row r="301" spans="1:4" x14ac:dyDescent="0.25">
      <c r="A301" t="s">
        <v>28</v>
      </c>
      <c r="B301" t="s">
        <v>27</v>
      </c>
      <c r="C301" t="s">
        <v>494</v>
      </c>
      <c r="D301">
        <v>-4.49</v>
      </c>
    </row>
    <row r="302" spans="1:4" x14ac:dyDescent="0.25">
      <c r="A302" t="s">
        <v>28</v>
      </c>
      <c r="B302" t="s">
        <v>27</v>
      </c>
      <c r="C302" t="s">
        <v>486</v>
      </c>
      <c r="D302">
        <v>-4.3579999999999997</v>
      </c>
    </row>
    <row r="303" spans="1:4" x14ac:dyDescent="0.25">
      <c r="A303" t="s">
        <v>28</v>
      </c>
      <c r="B303" t="s">
        <v>27</v>
      </c>
      <c r="C303" t="s">
        <v>487</v>
      </c>
      <c r="D303">
        <v>-4.375</v>
      </c>
    </row>
    <row r="304" spans="1:4" x14ac:dyDescent="0.25">
      <c r="A304" t="s">
        <v>28</v>
      </c>
      <c r="B304" t="s">
        <v>27</v>
      </c>
      <c r="C304" t="s">
        <v>493</v>
      </c>
      <c r="D304">
        <v>-3.9980000000000002</v>
      </c>
    </row>
    <row r="305" spans="1:4" x14ac:dyDescent="0.25">
      <c r="A305" t="s">
        <v>28</v>
      </c>
      <c r="B305" t="s">
        <v>27</v>
      </c>
      <c r="C305" t="s">
        <v>495</v>
      </c>
      <c r="D305">
        <v>-4.6859999999999999</v>
      </c>
    </row>
    <row r="306" spans="1:4" x14ac:dyDescent="0.25">
      <c r="A306" t="s">
        <v>28</v>
      </c>
      <c r="B306" t="s">
        <v>27</v>
      </c>
      <c r="C306" t="s">
        <v>496</v>
      </c>
      <c r="D306">
        <v>-4.7320000000000002</v>
      </c>
    </row>
    <row r="307" spans="1:4" x14ac:dyDescent="0.25">
      <c r="A307" t="s">
        <v>28</v>
      </c>
      <c r="B307" t="s">
        <v>27</v>
      </c>
      <c r="C307" t="s">
        <v>497</v>
      </c>
      <c r="D307">
        <v>-5.367</v>
      </c>
    </row>
    <row r="308" spans="1:4" x14ac:dyDescent="0.25">
      <c r="A308" t="s">
        <v>28</v>
      </c>
      <c r="B308" t="s">
        <v>27</v>
      </c>
      <c r="C308" t="s">
        <v>498</v>
      </c>
      <c r="D308">
        <v>-5.1669999999999998</v>
      </c>
    </row>
    <row r="309" spans="1:4" x14ac:dyDescent="0.25">
      <c r="A309" t="s">
        <v>28</v>
      </c>
      <c r="B309" t="s">
        <v>27</v>
      </c>
      <c r="C309" t="s">
        <v>499</v>
      </c>
      <c r="D309">
        <v>-4.7619999999999996</v>
      </c>
    </row>
    <row r="310" spans="1:4" x14ac:dyDescent="0.25">
      <c r="A310" t="s">
        <v>30</v>
      </c>
      <c r="B310" t="s">
        <v>5</v>
      </c>
      <c r="C310" t="s">
        <v>479</v>
      </c>
      <c r="D310">
        <v>0.311</v>
      </c>
    </row>
    <row r="311" spans="1:4" x14ac:dyDescent="0.25">
      <c r="A311" t="s">
        <v>30</v>
      </c>
      <c r="B311" t="s">
        <v>5</v>
      </c>
      <c r="C311" t="s">
        <v>481</v>
      </c>
      <c r="D311">
        <v>0.315</v>
      </c>
    </row>
    <row r="312" spans="1:4" x14ac:dyDescent="0.25">
      <c r="A312" t="s">
        <v>30</v>
      </c>
      <c r="B312" t="s">
        <v>5</v>
      </c>
      <c r="C312" t="s">
        <v>491</v>
      </c>
      <c r="D312">
        <v>0.30299999999999999</v>
      </c>
    </row>
    <row r="313" spans="1:4" x14ac:dyDescent="0.25">
      <c r="A313" t="s">
        <v>30</v>
      </c>
      <c r="B313" t="s">
        <v>5</v>
      </c>
      <c r="C313" t="s">
        <v>492</v>
      </c>
      <c r="D313">
        <v>0.29899999999999999</v>
      </c>
    </row>
    <row r="314" spans="1:4" x14ac:dyDescent="0.25">
      <c r="A314" t="s">
        <v>30</v>
      </c>
      <c r="B314" t="s">
        <v>5</v>
      </c>
      <c r="C314" t="s">
        <v>483</v>
      </c>
      <c r="D314">
        <v>0.26900000000000002</v>
      </c>
    </row>
    <row r="315" spans="1:4" x14ac:dyDescent="0.25">
      <c r="A315" t="s">
        <v>30</v>
      </c>
      <c r="B315" t="s">
        <v>5</v>
      </c>
      <c r="C315" t="s">
        <v>494</v>
      </c>
      <c r="D315">
        <v>0.24399999999999999</v>
      </c>
    </row>
    <row r="316" spans="1:4" x14ac:dyDescent="0.25">
      <c r="A316" t="s">
        <v>30</v>
      </c>
      <c r="B316" t="s">
        <v>5</v>
      </c>
      <c r="C316" t="s">
        <v>486</v>
      </c>
      <c r="D316">
        <v>0.27700000000000002</v>
      </c>
    </row>
    <row r="317" spans="1:4" x14ac:dyDescent="0.25">
      <c r="A317" t="s">
        <v>30</v>
      </c>
      <c r="B317" t="s">
        <v>5</v>
      </c>
      <c r="C317" t="s">
        <v>487</v>
      </c>
      <c r="D317">
        <v>0.26200000000000001</v>
      </c>
    </row>
    <row r="318" spans="1:4" x14ac:dyDescent="0.25">
      <c r="A318" t="s">
        <v>30</v>
      </c>
      <c r="B318" t="s">
        <v>5</v>
      </c>
      <c r="C318" t="s">
        <v>493</v>
      </c>
      <c r="D318">
        <v>0.28299999999999997</v>
      </c>
    </row>
    <row r="319" spans="1:4" x14ac:dyDescent="0.25">
      <c r="A319" t="s">
        <v>30</v>
      </c>
      <c r="B319" t="s">
        <v>5</v>
      </c>
      <c r="C319" t="s">
        <v>495</v>
      </c>
      <c r="D319">
        <v>0.30099999999999999</v>
      </c>
    </row>
    <row r="320" spans="1:4" x14ac:dyDescent="0.25">
      <c r="A320" t="s">
        <v>30</v>
      </c>
      <c r="B320" t="s">
        <v>5</v>
      </c>
      <c r="C320" t="s">
        <v>496</v>
      </c>
      <c r="D320">
        <v>0.23899999999999999</v>
      </c>
    </row>
    <row r="321" spans="1:4" x14ac:dyDescent="0.25">
      <c r="A321" t="s">
        <v>30</v>
      </c>
      <c r="B321" t="s">
        <v>5</v>
      </c>
      <c r="C321" t="s">
        <v>497</v>
      </c>
      <c r="D321">
        <v>0.24399999999999999</v>
      </c>
    </row>
    <row r="322" spans="1:4" x14ac:dyDescent="0.25">
      <c r="A322" t="s">
        <v>30</v>
      </c>
      <c r="B322" t="s">
        <v>5</v>
      </c>
      <c r="C322" t="s">
        <v>498</v>
      </c>
      <c r="D322">
        <v>0.29799999999999999</v>
      </c>
    </row>
    <row r="323" spans="1:4" x14ac:dyDescent="0.25">
      <c r="A323" t="s">
        <v>30</v>
      </c>
      <c r="B323" t="s">
        <v>5</v>
      </c>
      <c r="C323" t="s">
        <v>499</v>
      </c>
      <c r="D323">
        <v>0.3</v>
      </c>
    </row>
    <row r="324" spans="1:4" x14ac:dyDescent="0.25">
      <c r="A324" t="s">
        <v>30</v>
      </c>
      <c r="B324" t="s">
        <v>20</v>
      </c>
      <c r="C324" t="s">
        <v>479</v>
      </c>
      <c r="D324">
        <v>4.7E-2</v>
      </c>
    </row>
    <row r="325" spans="1:4" x14ac:dyDescent="0.25">
      <c r="A325" t="s">
        <v>30</v>
      </c>
      <c r="B325" t="s">
        <v>20</v>
      </c>
      <c r="C325" t="s">
        <v>481</v>
      </c>
      <c r="D325">
        <v>5.0999999999999997E-2</v>
      </c>
    </row>
    <row r="326" spans="1:4" x14ac:dyDescent="0.25">
      <c r="A326" t="s">
        <v>30</v>
      </c>
      <c r="B326" t="s">
        <v>20</v>
      </c>
      <c r="C326" t="s">
        <v>491</v>
      </c>
      <c r="D326">
        <v>5.0999999999999997E-2</v>
      </c>
    </row>
    <row r="327" spans="1:4" x14ac:dyDescent="0.25">
      <c r="A327" t="s">
        <v>30</v>
      </c>
      <c r="B327" t="s">
        <v>20</v>
      </c>
      <c r="C327" t="s">
        <v>492</v>
      </c>
      <c r="D327">
        <v>5.7000000000000002E-2</v>
      </c>
    </row>
    <row r="328" spans="1:4" x14ac:dyDescent="0.25">
      <c r="A328" t="s">
        <v>30</v>
      </c>
      <c r="B328" t="s">
        <v>20</v>
      </c>
      <c r="C328" t="s">
        <v>483</v>
      </c>
      <c r="D328">
        <v>6.9000000000000006E-2</v>
      </c>
    </row>
    <row r="329" spans="1:4" x14ac:dyDescent="0.25">
      <c r="A329" t="s">
        <v>30</v>
      </c>
      <c r="B329" t="s">
        <v>20</v>
      </c>
      <c r="C329" t="s">
        <v>494</v>
      </c>
      <c r="D329">
        <v>6.9000000000000006E-2</v>
      </c>
    </row>
    <row r="330" spans="1:4" x14ac:dyDescent="0.25">
      <c r="A330" t="s">
        <v>30</v>
      </c>
      <c r="B330" t="s">
        <v>20</v>
      </c>
      <c r="C330" t="s">
        <v>486</v>
      </c>
      <c r="D330">
        <v>7.4999999999999997E-2</v>
      </c>
    </row>
    <row r="331" spans="1:4" x14ac:dyDescent="0.25">
      <c r="A331" t="s">
        <v>30</v>
      </c>
      <c r="B331" t="s">
        <v>20</v>
      </c>
      <c r="C331" t="s">
        <v>487</v>
      </c>
      <c r="D331">
        <v>7.5999999999999998E-2</v>
      </c>
    </row>
    <row r="332" spans="1:4" x14ac:dyDescent="0.25">
      <c r="A332" t="s">
        <v>30</v>
      </c>
      <c r="B332" t="s">
        <v>20</v>
      </c>
      <c r="C332" t="s">
        <v>493</v>
      </c>
      <c r="D332">
        <v>6.4000000000000001E-2</v>
      </c>
    </row>
    <row r="333" spans="1:4" x14ac:dyDescent="0.25">
      <c r="A333" t="s">
        <v>30</v>
      </c>
      <c r="B333" t="s">
        <v>20</v>
      </c>
      <c r="C333" t="s">
        <v>495</v>
      </c>
      <c r="D333">
        <v>7.5999999999999998E-2</v>
      </c>
    </row>
    <row r="334" spans="1:4" x14ac:dyDescent="0.25">
      <c r="A334" t="s">
        <v>30</v>
      </c>
      <c r="B334" t="s">
        <v>20</v>
      </c>
      <c r="C334" t="s">
        <v>496</v>
      </c>
      <c r="D334">
        <v>8.5999999999999993E-2</v>
      </c>
    </row>
    <row r="335" spans="1:4" x14ac:dyDescent="0.25">
      <c r="A335" t="s">
        <v>30</v>
      </c>
      <c r="B335" t="s">
        <v>20</v>
      </c>
      <c r="C335" t="s">
        <v>497</v>
      </c>
      <c r="D335">
        <v>8.6999999999999994E-2</v>
      </c>
    </row>
    <row r="336" spans="1:4" x14ac:dyDescent="0.25">
      <c r="A336" t="s">
        <v>30</v>
      </c>
      <c r="B336" t="s">
        <v>20</v>
      </c>
      <c r="C336" t="s">
        <v>498</v>
      </c>
      <c r="D336">
        <v>8.8999999999999996E-2</v>
      </c>
    </row>
    <row r="337" spans="1:4" x14ac:dyDescent="0.25">
      <c r="A337" t="s">
        <v>30</v>
      </c>
      <c r="B337" t="s">
        <v>20</v>
      </c>
      <c r="C337" t="s">
        <v>499</v>
      </c>
      <c r="D337">
        <v>0.09</v>
      </c>
    </row>
    <row r="338" spans="1:4" x14ac:dyDescent="0.25">
      <c r="A338" t="s">
        <v>30</v>
      </c>
      <c r="B338" t="s">
        <v>22</v>
      </c>
      <c r="C338" t="s">
        <v>479</v>
      </c>
      <c r="D338">
        <v>6.0000000000000001E-3</v>
      </c>
    </row>
    <row r="339" spans="1:4" x14ac:dyDescent="0.25">
      <c r="A339" t="s">
        <v>30</v>
      </c>
      <c r="B339" t="s">
        <v>22</v>
      </c>
      <c r="C339" t="s">
        <v>481</v>
      </c>
      <c r="D339">
        <v>6.0000000000000001E-3</v>
      </c>
    </row>
    <row r="340" spans="1:4" x14ac:dyDescent="0.25">
      <c r="A340" t="s">
        <v>30</v>
      </c>
      <c r="B340" t="s">
        <v>22</v>
      </c>
      <c r="C340" t="s">
        <v>491</v>
      </c>
      <c r="D340">
        <v>5.0000000000000001E-3</v>
      </c>
    </row>
    <row r="341" spans="1:4" x14ac:dyDescent="0.25">
      <c r="A341" t="s">
        <v>30</v>
      </c>
      <c r="B341" t="s">
        <v>22</v>
      </c>
      <c r="C341" t="s">
        <v>492</v>
      </c>
      <c r="D341">
        <v>5.0000000000000001E-3</v>
      </c>
    </row>
    <row r="342" spans="1:4" x14ac:dyDescent="0.25">
      <c r="A342" t="s">
        <v>30</v>
      </c>
      <c r="B342" t="s">
        <v>22</v>
      </c>
      <c r="C342" t="s">
        <v>483</v>
      </c>
      <c r="D342">
        <v>4.0000000000000001E-3</v>
      </c>
    </row>
    <row r="343" spans="1:4" x14ac:dyDescent="0.25">
      <c r="A343" t="s">
        <v>30</v>
      </c>
      <c r="B343" t="s">
        <v>22</v>
      </c>
      <c r="C343" t="s">
        <v>494</v>
      </c>
      <c r="D343">
        <v>3.0000000000000001E-3</v>
      </c>
    </row>
    <row r="344" spans="1:4" x14ac:dyDescent="0.25">
      <c r="A344" t="s">
        <v>30</v>
      </c>
      <c r="B344" t="s">
        <v>22</v>
      </c>
      <c r="C344" t="s">
        <v>486</v>
      </c>
      <c r="D344">
        <v>4.0000000000000001E-3</v>
      </c>
    </row>
    <row r="345" spans="1:4" x14ac:dyDescent="0.25">
      <c r="A345" t="s">
        <v>30</v>
      </c>
      <c r="B345" t="s">
        <v>22</v>
      </c>
      <c r="C345" t="s">
        <v>487</v>
      </c>
      <c r="D345">
        <v>3.0000000000000001E-3</v>
      </c>
    </row>
    <row r="346" spans="1:4" x14ac:dyDescent="0.25">
      <c r="A346" t="s">
        <v>30</v>
      </c>
      <c r="B346" t="s">
        <v>22</v>
      </c>
      <c r="C346" t="s">
        <v>493</v>
      </c>
      <c r="D346">
        <v>4.0000000000000001E-3</v>
      </c>
    </row>
    <row r="347" spans="1:4" x14ac:dyDescent="0.25">
      <c r="A347" t="s">
        <v>30</v>
      </c>
      <c r="B347" t="s">
        <v>22</v>
      </c>
      <c r="C347" t="s">
        <v>495</v>
      </c>
      <c r="D347">
        <v>3.0000000000000001E-3</v>
      </c>
    </row>
    <row r="348" spans="1:4" x14ac:dyDescent="0.25">
      <c r="A348" t="s">
        <v>30</v>
      </c>
      <c r="B348" t="s">
        <v>22</v>
      </c>
      <c r="C348" t="s">
        <v>496</v>
      </c>
      <c r="D348">
        <v>3.0000000000000001E-3</v>
      </c>
    </row>
    <row r="349" spans="1:4" x14ac:dyDescent="0.25">
      <c r="A349" t="s">
        <v>30</v>
      </c>
      <c r="B349" t="s">
        <v>22</v>
      </c>
      <c r="C349" t="s">
        <v>497</v>
      </c>
      <c r="D349">
        <v>3.0000000000000001E-3</v>
      </c>
    </row>
    <row r="350" spans="1:4" x14ac:dyDescent="0.25">
      <c r="A350" t="s">
        <v>30</v>
      </c>
      <c r="B350" t="s">
        <v>22</v>
      </c>
      <c r="C350" t="s">
        <v>498</v>
      </c>
      <c r="D350">
        <v>3.0000000000000001E-3</v>
      </c>
    </row>
    <row r="351" spans="1:4" x14ac:dyDescent="0.25">
      <c r="A351" t="s">
        <v>30</v>
      </c>
      <c r="B351" t="s">
        <v>22</v>
      </c>
      <c r="C351" t="s">
        <v>499</v>
      </c>
      <c r="D351">
        <v>3.0000000000000001E-3</v>
      </c>
    </row>
    <row r="352" spans="1:4" x14ac:dyDescent="0.25">
      <c r="A352" t="s">
        <v>30</v>
      </c>
      <c r="B352" t="s">
        <v>23</v>
      </c>
      <c r="C352" t="s">
        <v>479</v>
      </c>
      <c r="D352">
        <v>-0.05</v>
      </c>
    </row>
    <row r="353" spans="1:4" x14ac:dyDescent="0.25">
      <c r="A353" t="s">
        <v>30</v>
      </c>
      <c r="B353" t="s">
        <v>23</v>
      </c>
      <c r="C353" t="s">
        <v>481</v>
      </c>
      <c r="D353">
        <v>-0.05</v>
      </c>
    </row>
    <row r="354" spans="1:4" x14ac:dyDescent="0.25">
      <c r="A354" t="s">
        <v>30</v>
      </c>
      <c r="B354" t="s">
        <v>23</v>
      </c>
      <c r="C354" t="s">
        <v>491</v>
      </c>
      <c r="D354">
        <v>-0.05</v>
      </c>
    </row>
    <row r="355" spans="1:4" x14ac:dyDescent="0.25">
      <c r="A355" t="s">
        <v>30</v>
      </c>
      <c r="B355" t="s">
        <v>23</v>
      </c>
      <c r="C355" t="s">
        <v>492</v>
      </c>
      <c r="D355">
        <v>-0.05</v>
      </c>
    </row>
    <row r="356" spans="1:4" x14ac:dyDescent="0.25">
      <c r="A356" t="s">
        <v>30</v>
      </c>
      <c r="B356" t="s">
        <v>23</v>
      </c>
      <c r="C356" t="s">
        <v>483</v>
      </c>
      <c r="D356">
        <v>-0.05</v>
      </c>
    </row>
    <row r="357" spans="1:4" x14ac:dyDescent="0.25">
      <c r="A357" t="s">
        <v>30</v>
      </c>
      <c r="B357" t="s">
        <v>23</v>
      </c>
      <c r="C357" t="s">
        <v>494</v>
      </c>
      <c r="D357">
        <v>-0.05</v>
      </c>
    </row>
    <row r="358" spans="1:4" x14ac:dyDescent="0.25">
      <c r="A358" t="s">
        <v>30</v>
      </c>
      <c r="B358" t="s">
        <v>23</v>
      </c>
      <c r="C358" t="s">
        <v>486</v>
      </c>
      <c r="D358">
        <v>-0.05</v>
      </c>
    </row>
    <row r="359" spans="1:4" x14ac:dyDescent="0.25">
      <c r="A359" t="s">
        <v>30</v>
      </c>
      <c r="B359" t="s">
        <v>23</v>
      </c>
      <c r="C359" t="s">
        <v>487</v>
      </c>
      <c r="D359">
        <v>-0.05</v>
      </c>
    </row>
    <row r="360" spans="1:4" x14ac:dyDescent="0.25">
      <c r="A360" t="s">
        <v>30</v>
      </c>
      <c r="B360" t="s">
        <v>23</v>
      </c>
      <c r="C360" t="s">
        <v>493</v>
      </c>
      <c r="D360">
        <v>-0.05</v>
      </c>
    </row>
    <row r="361" spans="1:4" x14ac:dyDescent="0.25">
      <c r="A361" t="s">
        <v>30</v>
      </c>
      <c r="B361" t="s">
        <v>23</v>
      </c>
      <c r="C361" t="s">
        <v>495</v>
      </c>
      <c r="D361">
        <v>-0.05</v>
      </c>
    </row>
    <row r="362" spans="1:4" x14ac:dyDescent="0.25">
      <c r="A362" t="s">
        <v>30</v>
      </c>
      <c r="B362" t="s">
        <v>23</v>
      </c>
      <c r="C362" t="s">
        <v>496</v>
      </c>
      <c r="D362">
        <v>-0.05</v>
      </c>
    </row>
    <row r="363" spans="1:4" x14ac:dyDescent="0.25">
      <c r="A363" t="s">
        <v>30</v>
      </c>
      <c r="B363" t="s">
        <v>23</v>
      </c>
      <c r="C363" t="s">
        <v>497</v>
      </c>
      <c r="D363">
        <v>-0.05</v>
      </c>
    </row>
    <row r="364" spans="1:4" x14ac:dyDescent="0.25">
      <c r="A364" t="s">
        <v>30</v>
      </c>
      <c r="B364" t="s">
        <v>23</v>
      </c>
      <c r="C364" t="s">
        <v>498</v>
      </c>
      <c r="D364">
        <v>-0.05</v>
      </c>
    </row>
    <row r="365" spans="1:4" x14ac:dyDescent="0.25">
      <c r="A365" t="s">
        <v>30</v>
      </c>
      <c r="B365" t="s">
        <v>23</v>
      </c>
      <c r="C365" t="s">
        <v>499</v>
      </c>
      <c r="D365">
        <v>-0.05</v>
      </c>
    </row>
    <row r="366" spans="1:4" x14ac:dyDescent="0.25">
      <c r="A366" t="s">
        <v>30</v>
      </c>
      <c r="B366" t="s">
        <v>615</v>
      </c>
      <c r="C366" t="s">
        <v>479</v>
      </c>
      <c r="D366">
        <v>1.2E-2</v>
      </c>
    </row>
    <row r="367" spans="1:4" x14ac:dyDescent="0.25">
      <c r="A367" t="s">
        <v>30</v>
      </c>
      <c r="B367" t="s">
        <v>615</v>
      </c>
      <c r="C367" t="s">
        <v>481</v>
      </c>
      <c r="D367">
        <v>1.0999999999999999E-2</v>
      </c>
    </row>
    <row r="368" spans="1:4" x14ac:dyDescent="0.25">
      <c r="A368" t="s">
        <v>30</v>
      </c>
      <c r="B368" t="s">
        <v>615</v>
      </c>
      <c r="C368" t="s">
        <v>491</v>
      </c>
      <c r="D368">
        <v>1.0999999999999999E-2</v>
      </c>
    </row>
    <row r="369" spans="1:4" x14ac:dyDescent="0.25">
      <c r="A369" t="s">
        <v>30</v>
      </c>
      <c r="B369" t="s">
        <v>615</v>
      </c>
      <c r="C369" t="s">
        <v>492</v>
      </c>
      <c r="D369">
        <v>1.2E-2</v>
      </c>
    </row>
    <row r="370" spans="1:4" x14ac:dyDescent="0.25">
      <c r="A370" t="s">
        <v>30</v>
      </c>
      <c r="B370" t="s">
        <v>615</v>
      </c>
      <c r="C370" t="s">
        <v>483</v>
      </c>
      <c r="D370">
        <v>1.4999999999999999E-2</v>
      </c>
    </row>
    <row r="371" spans="1:4" x14ac:dyDescent="0.25">
      <c r="A371" t="s">
        <v>30</v>
      </c>
      <c r="B371" t="s">
        <v>615</v>
      </c>
      <c r="C371" t="s">
        <v>494</v>
      </c>
      <c r="D371">
        <v>1.7000000000000001E-2</v>
      </c>
    </row>
    <row r="372" spans="1:4" x14ac:dyDescent="0.25">
      <c r="A372" t="s">
        <v>30</v>
      </c>
      <c r="B372" t="s">
        <v>615</v>
      </c>
      <c r="C372" t="s">
        <v>486</v>
      </c>
      <c r="D372">
        <v>2.4E-2</v>
      </c>
    </row>
    <row r="373" spans="1:4" x14ac:dyDescent="0.25">
      <c r="A373" t="s">
        <v>30</v>
      </c>
      <c r="B373" t="s">
        <v>615</v>
      </c>
      <c r="C373" t="s">
        <v>487</v>
      </c>
      <c r="D373">
        <v>0.09</v>
      </c>
    </row>
    <row r="374" spans="1:4" x14ac:dyDescent="0.25">
      <c r="A374" t="s">
        <v>30</v>
      </c>
      <c r="B374" t="s">
        <v>615</v>
      </c>
      <c r="C374" t="s">
        <v>493</v>
      </c>
      <c r="D374">
        <v>2.4E-2</v>
      </c>
    </row>
    <row r="375" spans="1:4" x14ac:dyDescent="0.25">
      <c r="A375" t="s">
        <v>30</v>
      </c>
      <c r="B375" t="s">
        <v>615</v>
      </c>
      <c r="C375" t="s">
        <v>495</v>
      </c>
      <c r="D375">
        <v>1.4999999999999999E-2</v>
      </c>
    </row>
    <row r="376" spans="1:4" x14ac:dyDescent="0.25">
      <c r="A376" t="s">
        <v>30</v>
      </c>
      <c r="B376" t="s">
        <v>615</v>
      </c>
      <c r="C376" t="s">
        <v>496</v>
      </c>
      <c r="D376">
        <v>1.7000000000000001E-2</v>
      </c>
    </row>
    <row r="377" spans="1:4" x14ac:dyDescent="0.25">
      <c r="A377" t="s">
        <v>30</v>
      </c>
      <c r="B377" t="s">
        <v>615</v>
      </c>
      <c r="C377" t="s">
        <v>497</v>
      </c>
      <c r="D377">
        <v>1.7000000000000001E-2</v>
      </c>
    </row>
    <row r="378" spans="1:4" x14ac:dyDescent="0.25">
      <c r="A378" t="s">
        <v>30</v>
      </c>
      <c r="B378" t="s">
        <v>615</v>
      </c>
      <c r="C378" t="s">
        <v>498</v>
      </c>
      <c r="D378">
        <v>0.04</v>
      </c>
    </row>
    <row r="379" spans="1:4" x14ac:dyDescent="0.25">
      <c r="A379" t="s">
        <v>30</v>
      </c>
      <c r="B379" t="s">
        <v>615</v>
      </c>
      <c r="C379" t="s">
        <v>499</v>
      </c>
      <c r="D379">
        <v>0.04</v>
      </c>
    </row>
    <row r="380" spans="1:4" x14ac:dyDescent="0.25">
      <c r="A380" t="s">
        <v>30</v>
      </c>
      <c r="B380" t="s">
        <v>24</v>
      </c>
      <c r="C380" t="s">
        <v>479</v>
      </c>
      <c r="D380">
        <v>0.14000000000000001</v>
      </c>
    </row>
    <row r="381" spans="1:4" x14ac:dyDescent="0.25">
      <c r="A381" t="s">
        <v>30</v>
      </c>
      <c r="B381" t="s">
        <v>24</v>
      </c>
      <c r="C381" t="s">
        <v>481</v>
      </c>
      <c r="D381">
        <v>0.14000000000000001</v>
      </c>
    </row>
    <row r="382" spans="1:4" x14ac:dyDescent="0.25">
      <c r="A382" t="s">
        <v>30</v>
      </c>
      <c r="B382" t="s">
        <v>24</v>
      </c>
      <c r="C382" t="s">
        <v>491</v>
      </c>
      <c r="D382">
        <v>0.14000000000000001</v>
      </c>
    </row>
    <row r="383" spans="1:4" x14ac:dyDescent="0.25">
      <c r="A383" t="s">
        <v>30</v>
      </c>
      <c r="B383" t="s">
        <v>24</v>
      </c>
      <c r="C383" t="s">
        <v>492</v>
      </c>
      <c r="D383">
        <v>0.14000000000000001</v>
      </c>
    </row>
    <row r="384" spans="1:4" x14ac:dyDescent="0.25">
      <c r="A384" t="s">
        <v>30</v>
      </c>
      <c r="B384" t="s">
        <v>24</v>
      </c>
      <c r="C384" t="s">
        <v>483</v>
      </c>
      <c r="D384">
        <v>0.14000000000000001</v>
      </c>
    </row>
    <row r="385" spans="1:4" x14ac:dyDescent="0.25">
      <c r="A385" t="s">
        <v>30</v>
      </c>
      <c r="B385" t="s">
        <v>24</v>
      </c>
      <c r="C385" t="s">
        <v>494</v>
      </c>
      <c r="D385">
        <v>0.14000000000000001</v>
      </c>
    </row>
    <row r="386" spans="1:4" x14ac:dyDescent="0.25">
      <c r="A386" t="s">
        <v>30</v>
      </c>
      <c r="B386" t="s">
        <v>24</v>
      </c>
      <c r="C386" t="s">
        <v>486</v>
      </c>
      <c r="D386">
        <v>0.14000000000000001</v>
      </c>
    </row>
    <row r="387" spans="1:4" x14ac:dyDescent="0.25">
      <c r="A387" t="s">
        <v>30</v>
      </c>
      <c r="B387" t="s">
        <v>24</v>
      </c>
      <c r="C387" t="s">
        <v>487</v>
      </c>
      <c r="D387">
        <v>0.14000000000000001</v>
      </c>
    </row>
    <row r="388" spans="1:4" x14ac:dyDescent="0.25">
      <c r="A388" t="s">
        <v>30</v>
      </c>
      <c r="B388" t="s">
        <v>24</v>
      </c>
      <c r="C388" t="s">
        <v>493</v>
      </c>
      <c r="D388">
        <v>0.14000000000000001</v>
      </c>
    </row>
    <row r="389" spans="1:4" x14ac:dyDescent="0.25">
      <c r="A389" t="s">
        <v>30</v>
      </c>
      <c r="B389" t="s">
        <v>24</v>
      </c>
      <c r="C389" t="s">
        <v>495</v>
      </c>
      <c r="D389">
        <v>0.14000000000000001</v>
      </c>
    </row>
    <row r="390" spans="1:4" x14ac:dyDescent="0.25">
      <c r="A390" t="s">
        <v>30</v>
      </c>
      <c r="B390" t="s">
        <v>24</v>
      </c>
      <c r="C390" t="s">
        <v>496</v>
      </c>
      <c r="D390">
        <v>0.14000000000000001</v>
      </c>
    </row>
    <row r="391" spans="1:4" x14ac:dyDescent="0.25">
      <c r="A391" t="s">
        <v>30</v>
      </c>
      <c r="B391" t="s">
        <v>24</v>
      </c>
      <c r="C391" t="s">
        <v>497</v>
      </c>
      <c r="D391">
        <v>0.14000000000000001</v>
      </c>
    </row>
    <row r="392" spans="1:4" x14ac:dyDescent="0.25">
      <c r="A392" t="s">
        <v>30</v>
      </c>
      <c r="B392" t="s">
        <v>24</v>
      </c>
      <c r="C392" t="s">
        <v>498</v>
      </c>
      <c r="D392">
        <v>0.14000000000000001</v>
      </c>
    </row>
    <row r="393" spans="1:4" x14ac:dyDescent="0.25">
      <c r="A393" t="s">
        <v>30</v>
      </c>
      <c r="B393" t="s">
        <v>24</v>
      </c>
      <c r="C393" t="s">
        <v>499</v>
      </c>
      <c r="D393">
        <v>0.14000000000000001</v>
      </c>
    </row>
    <row r="394" spans="1:4" x14ac:dyDescent="0.25">
      <c r="A394" t="s">
        <v>30</v>
      </c>
      <c r="B394" t="s">
        <v>25</v>
      </c>
      <c r="C394" t="s">
        <v>479</v>
      </c>
      <c r="D394">
        <v>0.26900000000000002</v>
      </c>
    </row>
    <row r="395" spans="1:4" x14ac:dyDescent="0.25">
      <c r="A395" t="s">
        <v>30</v>
      </c>
      <c r="B395" t="s">
        <v>25</v>
      </c>
      <c r="C395" t="s">
        <v>481</v>
      </c>
      <c r="D395">
        <v>0.26900000000000002</v>
      </c>
    </row>
    <row r="396" spans="1:4" x14ac:dyDescent="0.25">
      <c r="A396" t="s">
        <v>30</v>
      </c>
      <c r="B396" t="s">
        <v>25</v>
      </c>
      <c r="C396" t="s">
        <v>491</v>
      </c>
      <c r="D396">
        <v>0.26900000000000002</v>
      </c>
    </row>
    <row r="397" spans="1:4" x14ac:dyDescent="0.25">
      <c r="A397" t="s">
        <v>30</v>
      </c>
      <c r="B397" t="s">
        <v>25</v>
      </c>
      <c r="C397" t="s">
        <v>492</v>
      </c>
      <c r="D397">
        <v>0.26900000000000002</v>
      </c>
    </row>
    <row r="398" spans="1:4" x14ac:dyDescent="0.25">
      <c r="A398" t="s">
        <v>30</v>
      </c>
      <c r="B398" t="s">
        <v>25</v>
      </c>
      <c r="C398" t="s">
        <v>483</v>
      </c>
      <c r="D398">
        <v>0.26900000000000002</v>
      </c>
    </row>
    <row r="399" spans="1:4" x14ac:dyDescent="0.25">
      <c r="A399" t="s">
        <v>30</v>
      </c>
      <c r="B399" t="s">
        <v>25</v>
      </c>
      <c r="C399" t="s">
        <v>494</v>
      </c>
      <c r="D399">
        <v>0.26900000000000002</v>
      </c>
    </row>
    <row r="400" spans="1:4" x14ac:dyDescent="0.25">
      <c r="A400" t="s">
        <v>30</v>
      </c>
      <c r="B400" t="s">
        <v>25</v>
      </c>
      <c r="C400" t="s">
        <v>486</v>
      </c>
      <c r="D400">
        <v>0.30499999999999999</v>
      </c>
    </row>
    <row r="401" spans="1:4" x14ac:dyDescent="0.25">
      <c r="A401" t="s">
        <v>30</v>
      </c>
      <c r="B401" t="s">
        <v>25</v>
      </c>
      <c r="C401" t="s">
        <v>487</v>
      </c>
      <c r="D401">
        <v>0.28399999999999997</v>
      </c>
    </row>
    <row r="402" spans="1:4" x14ac:dyDescent="0.25">
      <c r="A402" t="s">
        <v>30</v>
      </c>
      <c r="B402" t="s">
        <v>25</v>
      </c>
      <c r="C402" t="s">
        <v>493</v>
      </c>
      <c r="D402">
        <v>0.27</v>
      </c>
    </row>
    <row r="403" spans="1:4" x14ac:dyDescent="0.25">
      <c r="A403" t="s">
        <v>30</v>
      </c>
      <c r="B403" t="s">
        <v>25</v>
      </c>
      <c r="C403" t="s">
        <v>495</v>
      </c>
      <c r="D403">
        <v>0.46600000000000003</v>
      </c>
    </row>
    <row r="404" spans="1:4" x14ac:dyDescent="0.25">
      <c r="A404" t="s">
        <v>30</v>
      </c>
      <c r="B404" t="s">
        <v>25</v>
      </c>
      <c r="C404" t="s">
        <v>496</v>
      </c>
      <c r="D404">
        <v>0.26900000000000002</v>
      </c>
    </row>
    <row r="405" spans="1:4" x14ac:dyDescent="0.25">
      <c r="A405" t="s">
        <v>30</v>
      </c>
      <c r="B405" t="s">
        <v>25</v>
      </c>
      <c r="C405" t="s">
        <v>497</v>
      </c>
      <c r="D405">
        <v>0.26900000000000002</v>
      </c>
    </row>
    <row r="406" spans="1:4" x14ac:dyDescent="0.25">
      <c r="A406" t="s">
        <v>30</v>
      </c>
      <c r="B406" t="s">
        <v>25</v>
      </c>
      <c r="C406" t="s">
        <v>498</v>
      </c>
      <c r="D406">
        <v>0.46600000000000003</v>
      </c>
    </row>
    <row r="407" spans="1:4" x14ac:dyDescent="0.25">
      <c r="A407" t="s">
        <v>30</v>
      </c>
      <c r="B407" t="s">
        <v>25</v>
      </c>
      <c r="C407" t="s">
        <v>499</v>
      </c>
      <c r="D407">
        <v>0.46600000000000003</v>
      </c>
    </row>
    <row r="408" spans="1:4" x14ac:dyDescent="0.25">
      <c r="A408" t="s">
        <v>30</v>
      </c>
      <c r="B408" t="s">
        <v>616</v>
      </c>
      <c r="C408" t="s">
        <v>479</v>
      </c>
      <c r="D408">
        <v>0.48</v>
      </c>
    </row>
    <row r="409" spans="1:4" x14ac:dyDescent="0.25">
      <c r="A409" t="s">
        <v>30</v>
      </c>
      <c r="B409" t="s">
        <v>616</v>
      </c>
      <c r="C409" t="s">
        <v>481</v>
      </c>
      <c r="D409">
        <v>0.52</v>
      </c>
    </row>
    <row r="410" spans="1:4" x14ac:dyDescent="0.25">
      <c r="A410" t="s">
        <v>30</v>
      </c>
      <c r="B410" t="s">
        <v>616</v>
      </c>
      <c r="C410" t="s">
        <v>491</v>
      </c>
      <c r="D410">
        <v>0.71</v>
      </c>
    </row>
    <row r="411" spans="1:4" x14ac:dyDescent="0.25">
      <c r="A411" t="s">
        <v>30</v>
      </c>
      <c r="B411" t="s">
        <v>616</v>
      </c>
      <c r="C411" t="s">
        <v>492</v>
      </c>
      <c r="D411">
        <v>0.76</v>
      </c>
    </row>
    <row r="412" spans="1:4" x14ac:dyDescent="0.25">
      <c r="A412" t="s">
        <v>30</v>
      </c>
      <c r="B412" t="s">
        <v>616</v>
      </c>
      <c r="C412" t="s">
        <v>483</v>
      </c>
      <c r="D412">
        <v>0.68</v>
      </c>
    </row>
    <row r="413" spans="1:4" x14ac:dyDescent="0.25">
      <c r="A413" t="s">
        <v>30</v>
      </c>
      <c r="B413" t="s">
        <v>616</v>
      </c>
      <c r="C413" t="s">
        <v>494</v>
      </c>
      <c r="D413">
        <v>0.66</v>
      </c>
    </row>
    <row r="414" spans="1:4" x14ac:dyDescent="0.25">
      <c r="A414" t="s">
        <v>30</v>
      </c>
      <c r="B414" t="s">
        <v>616</v>
      </c>
      <c r="C414" t="s">
        <v>486</v>
      </c>
      <c r="D414">
        <v>0.44</v>
      </c>
    </row>
    <row r="415" spans="1:4" x14ac:dyDescent="0.25">
      <c r="A415" t="s">
        <v>30</v>
      </c>
      <c r="B415" t="s">
        <v>616</v>
      </c>
      <c r="C415" t="s">
        <v>487</v>
      </c>
      <c r="D415">
        <v>0.51</v>
      </c>
    </row>
    <row r="416" spans="1:4" x14ac:dyDescent="0.25">
      <c r="A416" t="s">
        <v>30</v>
      </c>
      <c r="B416" t="s">
        <v>616</v>
      </c>
      <c r="C416" t="s">
        <v>493</v>
      </c>
      <c r="D416">
        <v>0.52</v>
      </c>
    </row>
    <row r="417" spans="1:4" x14ac:dyDescent="0.25">
      <c r="A417" t="s">
        <v>30</v>
      </c>
      <c r="B417" t="s">
        <v>616</v>
      </c>
      <c r="C417" t="s">
        <v>495</v>
      </c>
      <c r="D417">
        <v>0.21</v>
      </c>
    </row>
    <row r="418" spans="1:4" x14ac:dyDescent="0.25">
      <c r="A418" t="s">
        <v>30</v>
      </c>
      <c r="B418" t="s">
        <v>616</v>
      </c>
      <c r="C418" t="s">
        <v>496</v>
      </c>
      <c r="D418">
        <v>0.59</v>
      </c>
    </row>
    <row r="419" spans="1:4" x14ac:dyDescent="0.25">
      <c r="A419" t="s">
        <v>30</v>
      </c>
      <c r="B419" t="s">
        <v>616</v>
      </c>
      <c r="C419" t="s">
        <v>497</v>
      </c>
      <c r="D419">
        <v>0.59</v>
      </c>
    </row>
    <row r="420" spans="1:4" x14ac:dyDescent="0.25">
      <c r="A420" t="s">
        <v>30</v>
      </c>
      <c r="B420" t="s">
        <v>616</v>
      </c>
      <c r="C420" t="s">
        <v>498</v>
      </c>
      <c r="D420">
        <v>0.41</v>
      </c>
    </row>
    <row r="421" spans="1:4" x14ac:dyDescent="0.25">
      <c r="A421" t="s">
        <v>30</v>
      </c>
      <c r="B421" t="s">
        <v>616</v>
      </c>
      <c r="C421" t="s">
        <v>499</v>
      </c>
      <c r="D421">
        <v>0.41</v>
      </c>
    </row>
    <row r="422" spans="1:4" x14ac:dyDescent="0.25">
      <c r="A422" t="s">
        <v>31</v>
      </c>
      <c r="B422" t="s">
        <v>22</v>
      </c>
      <c r="C422" t="s">
        <v>479</v>
      </c>
      <c r="D422">
        <v>3.0000000000000001E-3</v>
      </c>
    </row>
    <row r="423" spans="1:4" x14ac:dyDescent="0.25">
      <c r="A423" t="s">
        <v>31</v>
      </c>
      <c r="B423" t="s">
        <v>22</v>
      </c>
      <c r="C423" t="s">
        <v>481</v>
      </c>
      <c r="D423">
        <v>3.0000000000000001E-3</v>
      </c>
    </row>
    <row r="424" spans="1:4" x14ac:dyDescent="0.25">
      <c r="A424" t="s">
        <v>31</v>
      </c>
      <c r="B424" t="s">
        <v>22</v>
      </c>
      <c r="C424" t="s">
        <v>491</v>
      </c>
      <c r="D424">
        <v>2.5000000000000001E-3</v>
      </c>
    </row>
    <row r="425" spans="1:4" x14ac:dyDescent="0.25">
      <c r="A425" t="s">
        <v>31</v>
      </c>
      <c r="B425" t="s">
        <v>22</v>
      </c>
      <c r="C425" t="s">
        <v>492</v>
      </c>
      <c r="D425">
        <v>2.5000000000000001E-3</v>
      </c>
    </row>
    <row r="426" spans="1:4" x14ac:dyDescent="0.25">
      <c r="A426" t="s">
        <v>31</v>
      </c>
      <c r="B426" t="s">
        <v>22</v>
      </c>
      <c r="C426" t="s">
        <v>483</v>
      </c>
      <c r="D426">
        <v>2E-3</v>
      </c>
    </row>
    <row r="427" spans="1:4" x14ac:dyDescent="0.25">
      <c r="A427" t="s">
        <v>31</v>
      </c>
      <c r="B427" t="s">
        <v>22</v>
      </c>
      <c r="C427" t="s">
        <v>494</v>
      </c>
      <c r="D427">
        <v>1.5E-3</v>
      </c>
    </row>
    <row r="428" spans="1:4" x14ac:dyDescent="0.25">
      <c r="A428" t="s">
        <v>31</v>
      </c>
      <c r="B428" t="s">
        <v>22</v>
      </c>
      <c r="C428" t="s">
        <v>486</v>
      </c>
      <c r="D428">
        <v>2E-3</v>
      </c>
    </row>
    <row r="429" spans="1:4" x14ac:dyDescent="0.25">
      <c r="A429" t="s">
        <v>31</v>
      </c>
      <c r="B429" t="s">
        <v>22</v>
      </c>
      <c r="C429" t="s">
        <v>487</v>
      </c>
      <c r="D429">
        <v>2.5000000000000001E-3</v>
      </c>
    </row>
    <row r="430" spans="1:4" x14ac:dyDescent="0.25">
      <c r="A430" t="s">
        <v>31</v>
      </c>
      <c r="B430" t="s">
        <v>22</v>
      </c>
      <c r="C430" t="s">
        <v>493</v>
      </c>
      <c r="D430">
        <v>2E-3</v>
      </c>
    </row>
    <row r="431" spans="1:4" x14ac:dyDescent="0.25">
      <c r="A431" t="s">
        <v>31</v>
      </c>
      <c r="B431" t="s">
        <v>22</v>
      </c>
      <c r="C431" t="s">
        <v>495</v>
      </c>
      <c r="D431">
        <v>2.5000000000000001E-3</v>
      </c>
    </row>
    <row r="432" spans="1:4" x14ac:dyDescent="0.25">
      <c r="A432" t="s">
        <v>31</v>
      </c>
      <c r="B432" t="s">
        <v>22</v>
      </c>
      <c r="C432" t="s">
        <v>496</v>
      </c>
      <c r="D432">
        <v>1.5E-3</v>
      </c>
    </row>
    <row r="433" spans="1:4" x14ac:dyDescent="0.25">
      <c r="A433" t="s">
        <v>31</v>
      </c>
      <c r="B433" t="s">
        <v>22</v>
      </c>
      <c r="C433" t="s">
        <v>497</v>
      </c>
      <c r="D433">
        <v>1.5E-3</v>
      </c>
    </row>
    <row r="434" spans="1:4" x14ac:dyDescent="0.25">
      <c r="A434" t="s">
        <v>31</v>
      </c>
      <c r="B434" t="s">
        <v>22</v>
      </c>
      <c r="C434" t="s">
        <v>498</v>
      </c>
      <c r="D434">
        <v>1.5E-3</v>
      </c>
    </row>
    <row r="435" spans="1:4" x14ac:dyDescent="0.25">
      <c r="A435" t="s">
        <v>31</v>
      </c>
      <c r="B435" t="s">
        <v>22</v>
      </c>
      <c r="C435" t="s">
        <v>499</v>
      </c>
      <c r="D435">
        <v>1.5E-3</v>
      </c>
    </row>
    <row r="436" spans="1:4" x14ac:dyDescent="0.25">
      <c r="A436" t="s">
        <v>31</v>
      </c>
      <c r="B436" t="s">
        <v>615</v>
      </c>
      <c r="C436" t="s">
        <v>479</v>
      </c>
      <c r="D436">
        <v>0.01</v>
      </c>
    </row>
    <row r="437" spans="1:4" x14ac:dyDescent="0.25">
      <c r="A437" t="s">
        <v>31</v>
      </c>
      <c r="B437" t="s">
        <v>615</v>
      </c>
      <c r="C437" t="s">
        <v>481</v>
      </c>
      <c r="D437">
        <v>8.9999999999999993E-3</v>
      </c>
    </row>
    <row r="438" spans="1:4" x14ac:dyDescent="0.25">
      <c r="A438" t="s">
        <v>31</v>
      </c>
      <c r="B438" t="s">
        <v>615</v>
      </c>
      <c r="C438" t="s">
        <v>491</v>
      </c>
      <c r="D438">
        <v>6.0000000000000001E-3</v>
      </c>
    </row>
    <row r="439" spans="1:4" x14ac:dyDescent="0.25">
      <c r="A439" t="s">
        <v>31</v>
      </c>
      <c r="B439" t="s">
        <v>615</v>
      </c>
      <c r="C439" t="s">
        <v>492</v>
      </c>
      <c r="D439">
        <v>6.0000000000000001E-3</v>
      </c>
    </row>
    <row r="440" spans="1:4" x14ac:dyDescent="0.25">
      <c r="A440" t="s">
        <v>31</v>
      </c>
      <c r="B440" t="s">
        <v>615</v>
      </c>
      <c r="C440" t="s">
        <v>483</v>
      </c>
      <c r="D440">
        <v>6.0000000000000001E-3</v>
      </c>
    </row>
    <row r="441" spans="1:4" x14ac:dyDescent="0.25">
      <c r="A441" t="s">
        <v>31</v>
      </c>
      <c r="B441" t="s">
        <v>615</v>
      </c>
      <c r="C441" t="s">
        <v>494</v>
      </c>
      <c r="D441">
        <v>6.0000000000000001E-3</v>
      </c>
    </row>
    <row r="442" spans="1:4" x14ac:dyDescent="0.25">
      <c r="A442" t="s">
        <v>31</v>
      </c>
      <c r="B442" t="s">
        <v>615</v>
      </c>
      <c r="C442" t="s">
        <v>486</v>
      </c>
      <c r="D442">
        <v>1.2999999999999999E-2</v>
      </c>
    </row>
    <row r="443" spans="1:4" x14ac:dyDescent="0.25">
      <c r="A443" t="s">
        <v>31</v>
      </c>
      <c r="B443" t="s">
        <v>615</v>
      </c>
      <c r="C443" t="s">
        <v>487</v>
      </c>
      <c r="D443">
        <v>3.0000000000000001E-3</v>
      </c>
    </row>
    <row r="444" spans="1:4" x14ac:dyDescent="0.25">
      <c r="A444" t="s">
        <v>31</v>
      </c>
      <c r="B444" t="s">
        <v>615</v>
      </c>
      <c r="C444" t="s">
        <v>493</v>
      </c>
      <c r="D444">
        <v>1.4999999999999999E-2</v>
      </c>
    </row>
    <row r="445" spans="1:4" x14ac:dyDescent="0.25">
      <c r="A445" t="s">
        <v>31</v>
      </c>
      <c r="B445" t="s">
        <v>615</v>
      </c>
      <c r="C445" t="s">
        <v>495</v>
      </c>
      <c r="D445">
        <v>8.0000000000000002E-3</v>
      </c>
    </row>
    <row r="446" spans="1:4" x14ac:dyDescent="0.25">
      <c r="A446" t="s">
        <v>31</v>
      </c>
      <c r="B446" t="s">
        <v>615</v>
      </c>
      <c r="C446" t="s">
        <v>496</v>
      </c>
      <c r="D446">
        <v>6.0000000000000001E-3</v>
      </c>
    </row>
    <row r="447" spans="1:4" x14ac:dyDescent="0.25">
      <c r="A447" t="s">
        <v>31</v>
      </c>
      <c r="B447" t="s">
        <v>615</v>
      </c>
      <c r="C447" t="s">
        <v>497</v>
      </c>
      <c r="D447">
        <v>6.0000000000000001E-3</v>
      </c>
    </row>
    <row r="448" spans="1:4" x14ac:dyDescent="0.25">
      <c r="A448" t="s">
        <v>31</v>
      </c>
      <c r="B448" t="s">
        <v>615</v>
      </c>
      <c r="C448" t="s">
        <v>498</v>
      </c>
      <c r="D448">
        <v>1.9E-2</v>
      </c>
    </row>
    <row r="449" spans="1:4" x14ac:dyDescent="0.25">
      <c r="A449" t="s">
        <v>31</v>
      </c>
      <c r="B449" t="s">
        <v>615</v>
      </c>
      <c r="C449" t="s">
        <v>499</v>
      </c>
      <c r="D449">
        <v>1.9E-2</v>
      </c>
    </row>
    <row r="450" spans="1:4" x14ac:dyDescent="0.25">
      <c r="A450" t="s">
        <v>31</v>
      </c>
      <c r="B450" t="s">
        <v>616</v>
      </c>
      <c r="C450" t="s">
        <v>479</v>
      </c>
      <c r="D450">
        <v>0.39</v>
      </c>
    </row>
    <row r="451" spans="1:4" x14ac:dyDescent="0.25">
      <c r="A451" t="s">
        <v>31</v>
      </c>
      <c r="B451" t="s">
        <v>616</v>
      </c>
      <c r="C451" t="s">
        <v>481</v>
      </c>
      <c r="D451">
        <v>0.49</v>
      </c>
    </row>
    <row r="452" spans="1:4" x14ac:dyDescent="0.25">
      <c r="A452" t="s">
        <v>31</v>
      </c>
      <c r="B452" t="s">
        <v>616</v>
      </c>
      <c r="C452" t="s">
        <v>491</v>
      </c>
      <c r="D452">
        <v>0.45</v>
      </c>
    </row>
    <row r="453" spans="1:4" x14ac:dyDescent="0.25">
      <c r="A453" t="s">
        <v>31</v>
      </c>
      <c r="B453" t="s">
        <v>616</v>
      </c>
      <c r="C453" t="s">
        <v>492</v>
      </c>
      <c r="D453">
        <v>0.52</v>
      </c>
    </row>
    <row r="454" spans="1:4" x14ac:dyDescent="0.25">
      <c r="A454" t="s">
        <v>31</v>
      </c>
      <c r="B454" t="s">
        <v>616</v>
      </c>
      <c r="C454" t="s">
        <v>483</v>
      </c>
      <c r="D454">
        <v>0.54</v>
      </c>
    </row>
    <row r="455" spans="1:4" x14ac:dyDescent="0.25">
      <c r="A455" t="s">
        <v>31</v>
      </c>
      <c r="B455" t="s">
        <v>616</v>
      </c>
      <c r="C455" t="s">
        <v>494</v>
      </c>
      <c r="D455">
        <v>0.53</v>
      </c>
    </row>
    <row r="456" spans="1:4" x14ac:dyDescent="0.25">
      <c r="A456" t="s">
        <v>31</v>
      </c>
      <c r="B456" t="s">
        <v>616</v>
      </c>
      <c r="C456" t="s">
        <v>486</v>
      </c>
      <c r="D456">
        <v>0.38</v>
      </c>
    </row>
    <row r="457" spans="1:4" x14ac:dyDescent="0.25">
      <c r="A457" t="s">
        <v>31</v>
      </c>
      <c r="B457" t="s">
        <v>616</v>
      </c>
      <c r="C457" t="s">
        <v>487</v>
      </c>
      <c r="D457">
        <v>0.46</v>
      </c>
    </row>
    <row r="458" spans="1:4" x14ac:dyDescent="0.25">
      <c r="A458" t="s">
        <v>31</v>
      </c>
      <c r="B458" t="s">
        <v>616</v>
      </c>
      <c r="C458" t="s">
        <v>493</v>
      </c>
      <c r="D458">
        <v>0.44</v>
      </c>
    </row>
    <row r="459" spans="1:4" x14ac:dyDescent="0.25">
      <c r="A459" t="s">
        <v>31</v>
      </c>
      <c r="B459" t="s">
        <v>616</v>
      </c>
      <c r="C459" t="s">
        <v>495</v>
      </c>
      <c r="D459">
        <v>0.22</v>
      </c>
    </row>
    <row r="460" spans="1:4" x14ac:dyDescent="0.25">
      <c r="A460" t="s">
        <v>31</v>
      </c>
      <c r="B460" t="s">
        <v>616</v>
      </c>
      <c r="C460" t="s">
        <v>496</v>
      </c>
      <c r="D460">
        <v>0.52</v>
      </c>
    </row>
    <row r="461" spans="1:4" x14ac:dyDescent="0.25">
      <c r="A461" t="s">
        <v>31</v>
      </c>
      <c r="B461" t="s">
        <v>616</v>
      </c>
      <c r="C461" t="s">
        <v>497</v>
      </c>
      <c r="D461">
        <v>0.52</v>
      </c>
    </row>
    <row r="462" spans="1:4" x14ac:dyDescent="0.25">
      <c r="A462" t="s">
        <v>31</v>
      </c>
      <c r="B462" t="s">
        <v>616</v>
      </c>
      <c r="C462" t="s">
        <v>498</v>
      </c>
      <c r="D462">
        <v>0.3</v>
      </c>
    </row>
    <row r="463" spans="1:4" x14ac:dyDescent="0.25">
      <c r="A463" t="s">
        <v>31</v>
      </c>
      <c r="B463" t="s">
        <v>616</v>
      </c>
      <c r="C463" t="s">
        <v>499</v>
      </c>
      <c r="D463">
        <v>0.3</v>
      </c>
    </row>
    <row r="464" spans="1:4" x14ac:dyDescent="0.25">
      <c r="A464" t="s">
        <v>32</v>
      </c>
      <c r="B464" t="s">
        <v>33</v>
      </c>
      <c r="C464" t="s">
        <v>479</v>
      </c>
      <c r="D464">
        <v>-1.19</v>
      </c>
    </row>
    <row r="465" spans="1:4" x14ac:dyDescent="0.25">
      <c r="A465" t="s">
        <v>32</v>
      </c>
      <c r="B465" t="s">
        <v>33</v>
      </c>
      <c r="C465" t="s">
        <v>481</v>
      </c>
      <c r="D465">
        <v>-1.19</v>
      </c>
    </row>
    <row r="466" spans="1:4" x14ac:dyDescent="0.25">
      <c r="A466" t="s">
        <v>32</v>
      </c>
      <c r="B466" t="s">
        <v>33</v>
      </c>
      <c r="C466" t="s">
        <v>491</v>
      </c>
      <c r="D466">
        <v>-1.19</v>
      </c>
    </row>
    <row r="467" spans="1:4" x14ac:dyDescent="0.25">
      <c r="A467" t="s">
        <v>32</v>
      </c>
      <c r="B467" t="s">
        <v>33</v>
      </c>
      <c r="C467" t="s">
        <v>492</v>
      </c>
      <c r="D467">
        <v>-1.19</v>
      </c>
    </row>
    <row r="468" spans="1:4" x14ac:dyDescent="0.25">
      <c r="A468" t="s">
        <v>32</v>
      </c>
      <c r="B468" t="s">
        <v>33</v>
      </c>
      <c r="C468" t="s">
        <v>483</v>
      </c>
      <c r="D468">
        <v>-1.19</v>
      </c>
    </row>
    <row r="469" spans="1:4" x14ac:dyDescent="0.25">
      <c r="A469" t="s">
        <v>32</v>
      </c>
      <c r="B469" t="s">
        <v>33</v>
      </c>
      <c r="C469" t="s">
        <v>494</v>
      </c>
      <c r="D469">
        <v>-1.19</v>
      </c>
    </row>
    <row r="470" spans="1:4" x14ac:dyDescent="0.25">
      <c r="A470" t="s">
        <v>32</v>
      </c>
      <c r="B470" t="s">
        <v>33</v>
      </c>
      <c r="C470" t="s">
        <v>486</v>
      </c>
      <c r="D470">
        <v>-1.19</v>
      </c>
    </row>
    <row r="471" spans="1:4" x14ac:dyDescent="0.25">
      <c r="A471" t="s">
        <v>32</v>
      </c>
      <c r="B471" t="s">
        <v>33</v>
      </c>
      <c r="C471" t="s">
        <v>487</v>
      </c>
      <c r="D471">
        <v>-1.19</v>
      </c>
    </row>
    <row r="472" spans="1:4" x14ac:dyDescent="0.25">
      <c r="A472" t="s">
        <v>32</v>
      </c>
      <c r="B472" t="s">
        <v>33</v>
      </c>
      <c r="C472" t="s">
        <v>493</v>
      </c>
      <c r="D472">
        <v>-1.19</v>
      </c>
    </row>
    <row r="473" spans="1:4" x14ac:dyDescent="0.25">
      <c r="A473" t="s">
        <v>32</v>
      </c>
      <c r="B473" t="s">
        <v>33</v>
      </c>
      <c r="C473" t="s">
        <v>495</v>
      </c>
      <c r="D473">
        <v>-1.19</v>
      </c>
    </row>
    <row r="474" spans="1:4" x14ac:dyDescent="0.25">
      <c r="A474" t="s">
        <v>32</v>
      </c>
      <c r="B474" t="s">
        <v>33</v>
      </c>
      <c r="C474" t="s">
        <v>496</v>
      </c>
      <c r="D474">
        <v>-1.19</v>
      </c>
    </row>
    <row r="475" spans="1:4" x14ac:dyDescent="0.25">
      <c r="A475" t="s">
        <v>32</v>
      </c>
      <c r="B475" t="s">
        <v>33</v>
      </c>
      <c r="C475" t="s">
        <v>497</v>
      </c>
      <c r="D475">
        <v>-1.19</v>
      </c>
    </row>
    <row r="476" spans="1:4" x14ac:dyDescent="0.25">
      <c r="A476" t="s">
        <v>32</v>
      </c>
      <c r="B476" t="s">
        <v>33</v>
      </c>
      <c r="C476" t="s">
        <v>498</v>
      </c>
      <c r="D476">
        <v>-1.19</v>
      </c>
    </row>
    <row r="477" spans="1:4" x14ac:dyDescent="0.25">
      <c r="A477" t="s">
        <v>32</v>
      </c>
      <c r="B477" t="s">
        <v>33</v>
      </c>
      <c r="C477" t="s">
        <v>499</v>
      </c>
      <c r="D477">
        <v>-1.19</v>
      </c>
    </row>
    <row r="478" spans="1:4" x14ac:dyDescent="0.25">
      <c r="A478" t="s">
        <v>32</v>
      </c>
      <c r="B478" t="s">
        <v>24</v>
      </c>
      <c r="C478" t="s">
        <v>479</v>
      </c>
      <c r="D478">
        <v>0.2</v>
      </c>
    </row>
    <row r="479" spans="1:4" x14ac:dyDescent="0.25">
      <c r="A479" t="s">
        <v>32</v>
      </c>
      <c r="B479" t="s">
        <v>24</v>
      </c>
      <c r="C479" t="s">
        <v>481</v>
      </c>
      <c r="D479">
        <v>0.2</v>
      </c>
    </row>
    <row r="480" spans="1:4" x14ac:dyDescent="0.25">
      <c r="A480" t="s">
        <v>32</v>
      </c>
      <c r="B480" t="s">
        <v>24</v>
      </c>
      <c r="C480" t="s">
        <v>491</v>
      </c>
      <c r="D480">
        <v>0.2</v>
      </c>
    </row>
    <row r="481" spans="1:4" x14ac:dyDescent="0.25">
      <c r="A481" t="s">
        <v>32</v>
      </c>
      <c r="B481" t="s">
        <v>24</v>
      </c>
      <c r="C481" t="s">
        <v>492</v>
      </c>
      <c r="D481">
        <v>0.2</v>
      </c>
    </row>
    <row r="482" spans="1:4" x14ac:dyDescent="0.25">
      <c r="A482" t="s">
        <v>32</v>
      </c>
      <c r="B482" t="s">
        <v>24</v>
      </c>
      <c r="C482" t="s">
        <v>483</v>
      </c>
      <c r="D482">
        <v>0.2</v>
      </c>
    </row>
    <row r="483" spans="1:4" x14ac:dyDescent="0.25">
      <c r="A483" t="s">
        <v>32</v>
      </c>
      <c r="B483" t="s">
        <v>24</v>
      </c>
      <c r="C483" t="s">
        <v>494</v>
      </c>
      <c r="D483">
        <v>0.2</v>
      </c>
    </row>
    <row r="484" spans="1:4" x14ac:dyDescent="0.25">
      <c r="A484" t="s">
        <v>32</v>
      </c>
      <c r="B484" t="s">
        <v>24</v>
      </c>
      <c r="C484" t="s">
        <v>486</v>
      </c>
      <c r="D484">
        <v>0.2</v>
      </c>
    </row>
    <row r="485" spans="1:4" x14ac:dyDescent="0.25">
      <c r="A485" t="s">
        <v>32</v>
      </c>
      <c r="B485" t="s">
        <v>24</v>
      </c>
      <c r="C485" t="s">
        <v>487</v>
      </c>
      <c r="D485">
        <v>0.2</v>
      </c>
    </row>
    <row r="486" spans="1:4" x14ac:dyDescent="0.25">
      <c r="A486" t="s">
        <v>32</v>
      </c>
      <c r="B486" t="s">
        <v>24</v>
      </c>
      <c r="C486" t="s">
        <v>493</v>
      </c>
      <c r="D486">
        <v>0.2</v>
      </c>
    </row>
    <row r="487" spans="1:4" x14ac:dyDescent="0.25">
      <c r="A487" t="s">
        <v>32</v>
      </c>
      <c r="B487" t="s">
        <v>24</v>
      </c>
      <c r="C487" t="s">
        <v>495</v>
      </c>
      <c r="D487">
        <v>0.2</v>
      </c>
    </row>
    <row r="488" spans="1:4" x14ac:dyDescent="0.25">
      <c r="A488" t="s">
        <v>32</v>
      </c>
      <c r="B488" t="s">
        <v>24</v>
      </c>
      <c r="C488" t="s">
        <v>496</v>
      </c>
      <c r="D488">
        <v>0.2</v>
      </c>
    </row>
    <row r="489" spans="1:4" x14ac:dyDescent="0.25">
      <c r="A489" t="s">
        <v>32</v>
      </c>
      <c r="B489" t="s">
        <v>24</v>
      </c>
      <c r="C489" t="s">
        <v>497</v>
      </c>
      <c r="D489">
        <v>0.2</v>
      </c>
    </row>
    <row r="490" spans="1:4" x14ac:dyDescent="0.25">
      <c r="A490" t="s">
        <v>32</v>
      </c>
      <c r="B490" t="s">
        <v>24</v>
      </c>
      <c r="C490" t="s">
        <v>498</v>
      </c>
      <c r="D490">
        <v>0.2</v>
      </c>
    </row>
    <row r="491" spans="1:4" x14ac:dyDescent="0.25">
      <c r="A491" t="s">
        <v>32</v>
      </c>
      <c r="B491" t="s">
        <v>24</v>
      </c>
      <c r="C491" t="s">
        <v>499</v>
      </c>
      <c r="D491">
        <v>0.2</v>
      </c>
    </row>
    <row r="492" spans="1:4" x14ac:dyDescent="0.25">
      <c r="A492" t="s">
        <v>32</v>
      </c>
      <c r="B492" t="s">
        <v>27</v>
      </c>
      <c r="C492" t="s">
        <v>479</v>
      </c>
      <c r="D492">
        <v>1</v>
      </c>
    </row>
    <row r="493" spans="1:4" x14ac:dyDescent="0.25">
      <c r="A493" t="s">
        <v>32</v>
      </c>
      <c r="B493" t="s">
        <v>27</v>
      </c>
      <c r="C493" t="s">
        <v>481</v>
      </c>
      <c r="D493">
        <v>1</v>
      </c>
    </row>
    <row r="494" spans="1:4" x14ac:dyDescent="0.25">
      <c r="A494" t="s">
        <v>32</v>
      </c>
      <c r="B494" t="s">
        <v>27</v>
      </c>
      <c r="C494" t="s">
        <v>491</v>
      </c>
      <c r="D494">
        <v>1</v>
      </c>
    </row>
    <row r="495" spans="1:4" x14ac:dyDescent="0.25">
      <c r="A495" t="s">
        <v>32</v>
      </c>
      <c r="B495" t="s">
        <v>27</v>
      </c>
      <c r="C495" t="s">
        <v>492</v>
      </c>
      <c r="D495">
        <v>1</v>
      </c>
    </row>
    <row r="496" spans="1:4" x14ac:dyDescent="0.25">
      <c r="A496" t="s">
        <v>32</v>
      </c>
      <c r="B496" t="s">
        <v>27</v>
      </c>
      <c r="C496" t="s">
        <v>483</v>
      </c>
      <c r="D496">
        <v>1</v>
      </c>
    </row>
    <row r="497" spans="1:4" x14ac:dyDescent="0.25">
      <c r="A497" t="s">
        <v>32</v>
      </c>
      <c r="B497" t="s">
        <v>27</v>
      </c>
      <c r="C497" t="s">
        <v>494</v>
      </c>
      <c r="D497">
        <v>1</v>
      </c>
    </row>
    <row r="498" spans="1:4" x14ac:dyDescent="0.25">
      <c r="A498" t="s">
        <v>32</v>
      </c>
      <c r="B498" t="s">
        <v>27</v>
      </c>
      <c r="C498" t="s">
        <v>486</v>
      </c>
      <c r="D498">
        <v>1</v>
      </c>
    </row>
    <row r="499" spans="1:4" x14ac:dyDescent="0.25">
      <c r="A499" t="s">
        <v>32</v>
      </c>
      <c r="B499" t="s">
        <v>27</v>
      </c>
      <c r="C499" t="s">
        <v>487</v>
      </c>
      <c r="D499">
        <v>1</v>
      </c>
    </row>
    <row r="500" spans="1:4" x14ac:dyDescent="0.25">
      <c r="A500" t="s">
        <v>32</v>
      </c>
      <c r="B500" t="s">
        <v>27</v>
      </c>
      <c r="C500" t="s">
        <v>493</v>
      </c>
      <c r="D500">
        <v>1</v>
      </c>
    </row>
    <row r="501" spans="1:4" x14ac:dyDescent="0.25">
      <c r="A501" t="s">
        <v>32</v>
      </c>
      <c r="B501" t="s">
        <v>27</v>
      </c>
      <c r="C501" t="s">
        <v>495</v>
      </c>
      <c r="D501">
        <v>1</v>
      </c>
    </row>
    <row r="502" spans="1:4" x14ac:dyDescent="0.25">
      <c r="A502" t="s">
        <v>32</v>
      </c>
      <c r="B502" t="s">
        <v>27</v>
      </c>
      <c r="C502" t="s">
        <v>496</v>
      </c>
      <c r="D502">
        <v>1</v>
      </c>
    </row>
    <row r="503" spans="1:4" x14ac:dyDescent="0.25">
      <c r="A503" t="s">
        <v>32</v>
      </c>
      <c r="B503" t="s">
        <v>27</v>
      </c>
      <c r="C503" t="s">
        <v>497</v>
      </c>
      <c r="D503">
        <v>1</v>
      </c>
    </row>
    <row r="504" spans="1:4" x14ac:dyDescent="0.25">
      <c r="A504" t="s">
        <v>32</v>
      </c>
      <c r="B504" t="s">
        <v>27</v>
      </c>
      <c r="C504" t="s">
        <v>498</v>
      </c>
      <c r="D504">
        <v>1</v>
      </c>
    </row>
    <row r="505" spans="1:4" x14ac:dyDescent="0.25">
      <c r="A505" t="s">
        <v>32</v>
      </c>
      <c r="B505" t="s">
        <v>27</v>
      </c>
      <c r="C505" t="s">
        <v>499</v>
      </c>
      <c r="D505">
        <v>1</v>
      </c>
    </row>
    <row r="506" spans="1:4" x14ac:dyDescent="0.25">
      <c r="A506" t="s">
        <v>34</v>
      </c>
      <c r="B506" t="s">
        <v>5</v>
      </c>
      <c r="C506" t="s">
        <v>479</v>
      </c>
      <c r="D506">
        <v>0.94799999999999995</v>
      </c>
    </row>
    <row r="507" spans="1:4" x14ac:dyDescent="0.25">
      <c r="A507" t="s">
        <v>34</v>
      </c>
      <c r="B507" t="s">
        <v>5</v>
      </c>
      <c r="C507" t="s">
        <v>481</v>
      </c>
      <c r="D507">
        <v>1.01</v>
      </c>
    </row>
    <row r="508" spans="1:4" x14ac:dyDescent="0.25">
      <c r="A508" t="s">
        <v>34</v>
      </c>
      <c r="B508" t="s">
        <v>5</v>
      </c>
      <c r="C508" t="s">
        <v>491</v>
      </c>
      <c r="D508">
        <v>0.94299999999999995</v>
      </c>
    </row>
    <row r="509" spans="1:4" x14ac:dyDescent="0.25">
      <c r="A509" t="s">
        <v>34</v>
      </c>
      <c r="B509" t="s">
        <v>5</v>
      </c>
      <c r="C509" t="s">
        <v>492</v>
      </c>
      <c r="D509">
        <v>1.036</v>
      </c>
    </row>
    <row r="510" spans="1:4" x14ac:dyDescent="0.25">
      <c r="A510" t="s">
        <v>34</v>
      </c>
      <c r="B510" t="s">
        <v>5</v>
      </c>
      <c r="C510" t="s">
        <v>483</v>
      </c>
      <c r="D510">
        <v>1.0660000000000001</v>
      </c>
    </row>
    <row r="511" spans="1:4" x14ac:dyDescent="0.25">
      <c r="A511" t="s">
        <v>34</v>
      </c>
      <c r="B511" t="s">
        <v>5</v>
      </c>
      <c r="C511" t="s">
        <v>494</v>
      </c>
      <c r="D511">
        <v>1.161</v>
      </c>
    </row>
    <row r="512" spans="1:4" x14ac:dyDescent="0.25">
      <c r="A512" t="s">
        <v>34</v>
      </c>
      <c r="B512" t="s">
        <v>5</v>
      </c>
      <c r="C512" t="s">
        <v>486</v>
      </c>
      <c r="D512">
        <v>1.161</v>
      </c>
    </row>
    <row r="513" spans="1:4" x14ac:dyDescent="0.25">
      <c r="A513" t="s">
        <v>34</v>
      </c>
      <c r="B513" t="s">
        <v>5</v>
      </c>
      <c r="C513" t="s">
        <v>487</v>
      </c>
      <c r="D513">
        <v>1.1359999999999999</v>
      </c>
    </row>
    <row r="514" spans="1:4" x14ac:dyDescent="0.25">
      <c r="A514" t="s">
        <v>34</v>
      </c>
      <c r="B514" t="s">
        <v>5</v>
      </c>
      <c r="C514" t="s">
        <v>493</v>
      </c>
      <c r="D514">
        <v>1.131</v>
      </c>
    </row>
    <row r="515" spans="1:4" x14ac:dyDescent="0.25">
      <c r="A515" t="s">
        <v>34</v>
      </c>
      <c r="B515" t="s">
        <v>5</v>
      </c>
      <c r="C515" t="s">
        <v>495</v>
      </c>
      <c r="D515">
        <v>1.2030000000000001</v>
      </c>
    </row>
    <row r="516" spans="1:4" x14ac:dyDescent="0.25">
      <c r="A516" t="s">
        <v>34</v>
      </c>
      <c r="B516" t="s">
        <v>5</v>
      </c>
      <c r="C516" t="s">
        <v>496</v>
      </c>
      <c r="D516">
        <v>1.2050000000000001</v>
      </c>
    </row>
    <row r="517" spans="1:4" x14ac:dyDescent="0.25">
      <c r="A517" t="s">
        <v>34</v>
      </c>
      <c r="B517" t="s">
        <v>5</v>
      </c>
      <c r="C517" t="s">
        <v>497</v>
      </c>
      <c r="D517">
        <v>1.302</v>
      </c>
    </row>
    <row r="518" spans="1:4" x14ac:dyDescent="0.25">
      <c r="A518" t="s">
        <v>34</v>
      </c>
      <c r="B518" t="s">
        <v>5</v>
      </c>
      <c r="C518" t="s">
        <v>498</v>
      </c>
      <c r="D518">
        <v>1.2689999999999999</v>
      </c>
    </row>
    <row r="519" spans="1:4" x14ac:dyDescent="0.25">
      <c r="A519" t="s">
        <v>34</v>
      </c>
      <c r="B519" t="s">
        <v>5</v>
      </c>
      <c r="C519" t="s">
        <v>499</v>
      </c>
      <c r="D519">
        <v>1.4379999999999999</v>
      </c>
    </row>
    <row r="520" spans="1:4" x14ac:dyDescent="0.25">
      <c r="A520" t="s">
        <v>34</v>
      </c>
      <c r="B520" t="s">
        <v>20</v>
      </c>
      <c r="C520" t="s">
        <v>479</v>
      </c>
      <c r="D520">
        <v>-2.052</v>
      </c>
    </row>
    <row r="521" spans="1:4" x14ac:dyDescent="0.25">
      <c r="A521" t="s">
        <v>34</v>
      </c>
      <c r="B521" t="s">
        <v>20</v>
      </c>
      <c r="C521" t="s">
        <v>481</v>
      </c>
      <c r="D521">
        <v>-2.2000000000000002</v>
      </c>
    </row>
    <row r="522" spans="1:4" x14ac:dyDescent="0.25">
      <c r="A522" t="s">
        <v>34</v>
      </c>
      <c r="B522" t="s">
        <v>20</v>
      </c>
      <c r="C522" t="s">
        <v>491</v>
      </c>
      <c r="D522">
        <v>-2.2999999999999998</v>
      </c>
    </row>
    <row r="523" spans="1:4" x14ac:dyDescent="0.25">
      <c r="A523" t="s">
        <v>34</v>
      </c>
      <c r="B523" t="s">
        <v>20</v>
      </c>
      <c r="C523" t="s">
        <v>492</v>
      </c>
      <c r="D523">
        <v>-2.4369999999999998</v>
      </c>
    </row>
    <row r="524" spans="1:4" x14ac:dyDescent="0.25">
      <c r="A524" t="s">
        <v>34</v>
      </c>
      <c r="B524" t="s">
        <v>20</v>
      </c>
      <c r="C524" t="s">
        <v>483</v>
      </c>
      <c r="D524">
        <v>-3.105</v>
      </c>
    </row>
    <row r="525" spans="1:4" x14ac:dyDescent="0.25">
      <c r="A525" t="s">
        <v>34</v>
      </c>
      <c r="B525" t="s">
        <v>20</v>
      </c>
      <c r="C525" t="s">
        <v>494</v>
      </c>
      <c r="D525">
        <v>-3.49</v>
      </c>
    </row>
    <row r="526" spans="1:4" x14ac:dyDescent="0.25">
      <c r="A526" t="s">
        <v>34</v>
      </c>
      <c r="B526" t="s">
        <v>20</v>
      </c>
      <c r="C526" t="s">
        <v>486</v>
      </c>
      <c r="D526">
        <v>-3.98</v>
      </c>
    </row>
    <row r="527" spans="1:4" x14ac:dyDescent="0.25">
      <c r="A527" t="s">
        <v>34</v>
      </c>
      <c r="B527" t="s">
        <v>20</v>
      </c>
      <c r="C527" t="s">
        <v>487</v>
      </c>
      <c r="D527">
        <v>-4.18</v>
      </c>
    </row>
    <row r="528" spans="1:4" x14ac:dyDescent="0.25">
      <c r="A528" t="s">
        <v>34</v>
      </c>
      <c r="B528" t="s">
        <v>20</v>
      </c>
      <c r="C528" t="s">
        <v>493</v>
      </c>
      <c r="D528">
        <v>-3.78</v>
      </c>
    </row>
    <row r="529" spans="1:4" x14ac:dyDescent="0.25">
      <c r="A529" t="s">
        <v>34</v>
      </c>
      <c r="B529" t="s">
        <v>20</v>
      </c>
      <c r="C529" t="s">
        <v>495</v>
      </c>
      <c r="D529">
        <v>-4.0380000000000003</v>
      </c>
    </row>
    <row r="530" spans="1:4" x14ac:dyDescent="0.25">
      <c r="A530" t="s">
        <v>34</v>
      </c>
      <c r="B530" t="s">
        <v>20</v>
      </c>
      <c r="C530" t="s">
        <v>496</v>
      </c>
      <c r="D530">
        <v>-4.0369999999999999</v>
      </c>
    </row>
    <row r="531" spans="1:4" x14ac:dyDescent="0.25">
      <c r="A531" t="s">
        <v>34</v>
      </c>
      <c r="B531" t="s">
        <v>20</v>
      </c>
      <c r="C531" t="s">
        <v>497</v>
      </c>
      <c r="D531">
        <v>-4.5720000000000001</v>
      </c>
    </row>
    <row r="532" spans="1:4" x14ac:dyDescent="0.25">
      <c r="A532" t="s">
        <v>34</v>
      </c>
      <c r="B532" t="s">
        <v>20</v>
      </c>
      <c r="C532" t="s">
        <v>498</v>
      </c>
      <c r="D532">
        <v>-4.085</v>
      </c>
    </row>
    <row r="533" spans="1:4" x14ac:dyDescent="0.25">
      <c r="A533" t="s">
        <v>34</v>
      </c>
      <c r="B533" t="s">
        <v>20</v>
      </c>
      <c r="C533" t="s">
        <v>499</v>
      </c>
      <c r="D533">
        <v>-5.2770000000000001</v>
      </c>
    </row>
    <row r="534" spans="1:4" x14ac:dyDescent="0.25">
      <c r="A534" t="s">
        <v>34</v>
      </c>
      <c r="B534" t="s">
        <v>21</v>
      </c>
      <c r="C534" t="s">
        <v>479</v>
      </c>
      <c r="D534">
        <v>0.217</v>
      </c>
    </row>
    <row r="535" spans="1:4" x14ac:dyDescent="0.25">
      <c r="A535" t="s">
        <v>34</v>
      </c>
      <c r="B535" t="s">
        <v>21</v>
      </c>
      <c r="C535" t="s">
        <v>481</v>
      </c>
      <c r="D535">
        <v>0.217</v>
      </c>
    </row>
    <row r="536" spans="1:4" x14ac:dyDescent="0.25">
      <c r="A536" t="s">
        <v>34</v>
      </c>
      <c r="B536" t="s">
        <v>21</v>
      </c>
      <c r="C536" t="s">
        <v>491</v>
      </c>
      <c r="D536">
        <v>0.217</v>
      </c>
    </row>
    <row r="537" spans="1:4" x14ac:dyDescent="0.25">
      <c r="A537" t="s">
        <v>34</v>
      </c>
      <c r="B537" t="s">
        <v>21</v>
      </c>
      <c r="C537" t="s">
        <v>492</v>
      </c>
      <c r="D537">
        <v>0.221</v>
      </c>
    </row>
    <row r="538" spans="1:4" x14ac:dyDescent="0.25">
      <c r="A538" t="s">
        <v>34</v>
      </c>
      <c r="B538" t="s">
        <v>21</v>
      </c>
      <c r="C538" t="s">
        <v>483</v>
      </c>
      <c r="D538">
        <v>0.23200000000000001</v>
      </c>
    </row>
    <row r="539" spans="1:4" x14ac:dyDescent="0.25">
      <c r="A539" t="s">
        <v>34</v>
      </c>
      <c r="B539" t="s">
        <v>21</v>
      </c>
      <c r="C539" t="s">
        <v>494</v>
      </c>
      <c r="D539">
        <v>0.24099999999999999</v>
      </c>
    </row>
    <row r="540" spans="1:4" x14ac:dyDescent="0.25">
      <c r="A540" t="s">
        <v>34</v>
      </c>
      <c r="B540" t="s">
        <v>21</v>
      </c>
      <c r="C540" t="s">
        <v>486</v>
      </c>
      <c r="D540">
        <v>0.23799999999999999</v>
      </c>
    </row>
    <row r="541" spans="1:4" x14ac:dyDescent="0.25">
      <c r="A541" t="s">
        <v>34</v>
      </c>
      <c r="B541" t="s">
        <v>21</v>
      </c>
      <c r="C541" t="s">
        <v>487</v>
      </c>
      <c r="D541">
        <v>0.23799999999999999</v>
      </c>
    </row>
    <row r="542" spans="1:4" x14ac:dyDescent="0.25">
      <c r="A542" t="s">
        <v>34</v>
      </c>
      <c r="B542" t="s">
        <v>21</v>
      </c>
      <c r="C542" t="s">
        <v>493</v>
      </c>
      <c r="D542">
        <v>0.23499999999999999</v>
      </c>
    </row>
    <row r="543" spans="1:4" x14ac:dyDescent="0.25">
      <c r="A543" t="s">
        <v>34</v>
      </c>
      <c r="B543" t="s">
        <v>21</v>
      </c>
      <c r="C543" t="s">
        <v>495</v>
      </c>
      <c r="D543">
        <v>0.247</v>
      </c>
    </row>
    <row r="544" spans="1:4" x14ac:dyDescent="0.25">
      <c r="A544" t="s">
        <v>34</v>
      </c>
      <c r="B544" t="s">
        <v>21</v>
      </c>
      <c r="C544" t="s">
        <v>496</v>
      </c>
      <c r="D544">
        <v>0.24099999999999999</v>
      </c>
    </row>
    <row r="545" spans="1:4" x14ac:dyDescent="0.25">
      <c r="A545" t="s">
        <v>34</v>
      </c>
      <c r="B545" t="s">
        <v>21</v>
      </c>
      <c r="C545" t="s">
        <v>497</v>
      </c>
      <c r="D545">
        <v>0.24099999999999999</v>
      </c>
    </row>
    <row r="546" spans="1:4" x14ac:dyDescent="0.25">
      <c r="A546" t="s">
        <v>34</v>
      </c>
      <c r="B546" t="s">
        <v>21</v>
      </c>
      <c r="C546" t="s">
        <v>498</v>
      </c>
      <c r="D546">
        <v>0.24099999999999999</v>
      </c>
    </row>
    <row r="547" spans="1:4" x14ac:dyDescent="0.25">
      <c r="A547" t="s">
        <v>34</v>
      </c>
      <c r="B547" t="s">
        <v>21</v>
      </c>
      <c r="C547" t="s">
        <v>499</v>
      </c>
      <c r="D547">
        <v>0.24099999999999999</v>
      </c>
    </row>
    <row r="548" spans="1:4" x14ac:dyDescent="0.25">
      <c r="A548" t="s">
        <v>34</v>
      </c>
      <c r="B548" t="s">
        <v>22</v>
      </c>
      <c r="C548" t="s">
        <v>479</v>
      </c>
      <c r="D548">
        <v>8.0000000000000002E-3</v>
      </c>
    </row>
    <row r="549" spans="1:4" x14ac:dyDescent="0.25">
      <c r="A549" t="s">
        <v>34</v>
      </c>
      <c r="B549" t="s">
        <v>22</v>
      </c>
      <c r="C549" t="s">
        <v>481</v>
      </c>
      <c r="D549">
        <v>8.0000000000000002E-3</v>
      </c>
    </row>
    <row r="550" spans="1:4" x14ac:dyDescent="0.25">
      <c r="A550" t="s">
        <v>34</v>
      </c>
      <c r="B550" t="s">
        <v>22</v>
      </c>
      <c r="C550" t="s">
        <v>491</v>
      </c>
      <c r="D550">
        <v>8.0000000000000002E-3</v>
      </c>
    </row>
    <row r="551" spans="1:4" x14ac:dyDescent="0.25">
      <c r="A551" t="s">
        <v>34</v>
      </c>
      <c r="B551" t="s">
        <v>22</v>
      </c>
      <c r="C551" t="s">
        <v>492</v>
      </c>
      <c r="D551">
        <v>8.0000000000000002E-3</v>
      </c>
    </row>
    <row r="552" spans="1:4" x14ac:dyDescent="0.25">
      <c r="A552" t="s">
        <v>34</v>
      </c>
      <c r="B552" t="s">
        <v>22</v>
      </c>
      <c r="C552" t="s">
        <v>483</v>
      </c>
      <c r="D552">
        <v>7.0000000000000001E-3</v>
      </c>
    </row>
    <row r="553" spans="1:4" x14ac:dyDescent="0.25">
      <c r="A553" t="s">
        <v>34</v>
      </c>
      <c r="B553" t="s">
        <v>22</v>
      </c>
      <c r="C553" t="s">
        <v>494</v>
      </c>
      <c r="D553">
        <v>6.0000000000000001E-3</v>
      </c>
    </row>
    <row r="554" spans="1:4" x14ac:dyDescent="0.25">
      <c r="A554" t="s">
        <v>34</v>
      </c>
      <c r="B554" t="s">
        <v>22</v>
      </c>
      <c r="C554" t="s">
        <v>486</v>
      </c>
      <c r="D554">
        <v>7.0000000000000001E-3</v>
      </c>
    </row>
    <row r="555" spans="1:4" x14ac:dyDescent="0.25">
      <c r="A555" t="s">
        <v>34</v>
      </c>
      <c r="B555" t="s">
        <v>22</v>
      </c>
      <c r="C555" t="s">
        <v>487</v>
      </c>
      <c r="D555">
        <v>6.0000000000000001E-3</v>
      </c>
    </row>
    <row r="556" spans="1:4" x14ac:dyDescent="0.25">
      <c r="A556" t="s">
        <v>34</v>
      </c>
      <c r="B556" t="s">
        <v>22</v>
      </c>
      <c r="C556" t="s">
        <v>493</v>
      </c>
      <c r="D556">
        <v>8.0000000000000002E-3</v>
      </c>
    </row>
    <row r="557" spans="1:4" x14ac:dyDescent="0.25">
      <c r="A557" t="s">
        <v>34</v>
      </c>
      <c r="B557" t="s">
        <v>22</v>
      </c>
      <c r="C557" t="s">
        <v>495</v>
      </c>
      <c r="D557">
        <v>6.0000000000000001E-3</v>
      </c>
    </row>
    <row r="558" spans="1:4" x14ac:dyDescent="0.25">
      <c r="A558" t="s">
        <v>34</v>
      </c>
      <c r="B558" t="s">
        <v>22</v>
      </c>
      <c r="C558" t="s">
        <v>496</v>
      </c>
      <c r="D558">
        <v>5.0000000000000001E-3</v>
      </c>
    </row>
    <row r="559" spans="1:4" x14ac:dyDescent="0.25">
      <c r="A559" t="s">
        <v>34</v>
      </c>
      <c r="B559" t="s">
        <v>22</v>
      </c>
      <c r="C559" t="s">
        <v>497</v>
      </c>
      <c r="D559">
        <v>5.0000000000000001E-3</v>
      </c>
    </row>
    <row r="560" spans="1:4" x14ac:dyDescent="0.25">
      <c r="A560" t="s">
        <v>34</v>
      </c>
      <c r="B560" t="s">
        <v>22</v>
      </c>
      <c r="C560" t="s">
        <v>498</v>
      </c>
      <c r="D560">
        <v>5.0000000000000001E-3</v>
      </c>
    </row>
    <row r="561" spans="1:4" x14ac:dyDescent="0.25">
      <c r="A561" t="s">
        <v>34</v>
      </c>
      <c r="B561" t="s">
        <v>22</v>
      </c>
      <c r="C561" t="s">
        <v>499</v>
      </c>
      <c r="D561">
        <v>5.0000000000000001E-3</v>
      </c>
    </row>
    <row r="562" spans="1:4" x14ac:dyDescent="0.25">
      <c r="A562" t="s">
        <v>34</v>
      </c>
      <c r="B562" t="s">
        <v>23</v>
      </c>
      <c r="C562" t="s">
        <v>479</v>
      </c>
      <c r="D562">
        <v>0.03</v>
      </c>
    </row>
    <row r="563" spans="1:4" x14ac:dyDescent="0.25">
      <c r="A563" t="s">
        <v>34</v>
      </c>
      <c r="B563" t="s">
        <v>23</v>
      </c>
      <c r="C563" t="s">
        <v>481</v>
      </c>
      <c r="D563">
        <v>3.3000000000000002E-2</v>
      </c>
    </row>
    <row r="564" spans="1:4" x14ac:dyDescent="0.25">
      <c r="A564" t="s">
        <v>34</v>
      </c>
      <c r="B564" t="s">
        <v>23</v>
      </c>
      <c r="C564" t="s">
        <v>491</v>
      </c>
      <c r="D564">
        <v>3.5000000000000003E-2</v>
      </c>
    </row>
    <row r="565" spans="1:4" x14ac:dyDescent="0.25">
      <c r="A565" t="s">
        <v>34</v>
      </c>
      <c r="B565" t="s">
        <v>23</v>
      </c>
      <c r="C565" t="s">
        <v>492</v>
      </c>
      <c r="D565">
        <v>3.5999999999999997E-2</v>
      </c>
    </row>
    <row r="566" spans="1:4" x14ac:dyDescent="0.25">
      <c r="A566" t="s">
        <v>34</v>
      </c>
      <c r="B566" t="s">
        <v>23</v>
      </c>
      <c r="C566" t="s">
        <v>483</v>
      </c>
      <c r="D566">
        <v>4.1000000000000002E-2</v>
      </c>
    </row>
    <row r="567" spans="1:4" x14ac:dyDescent="0.25">
      <c r="A567" t="s">
        <v>34</v>
      </c>
      <c r="B567" t="s">
        <v>23</v>
      </c>
      <c r="C567" t="s">
        <v>494</v>
      </c>
      <c r="D567">
        <v>0.05</v>
      </c>
    </row>
    <row r="568" spans="1:4" x14ac:dyDescent="0.25">
      <c r="A568" t="s">
        <v>34</v>
      </c>
      <c r="B568" t="s">
        <v>23</v>
      </c>
      <c r="C568" t="s">
        <v>486</v>
      </c>
      <c r="D568">
        <v>0.06</v>
      </c>
    </row>
    <row r="569" spans="1:4" x14ac:dyDescent="0.25">
      <c r="A569" t="s">
        <v>34</v>
      </c>
      <c r="B569" t="s">
        <v>23</v>
      </c>
      <c r="C569" t="s">
        <v>487</v>
      </c>
      <c r="D569">
        <v>6.2E-2</v>
      </c>
    </row>
    <row r="570" spans="1:4" x14ac:dyDescent="0.25">
      <c r="A570" t="s">
        <v>34</v>
      </c>
      <c r="B570" t="s">
        <v>23</v>
      </c>
      <c r="C570" t="s">
        <v>493</v>
      </c>
      <c r="D570">
        <v>5.8000000000000003E-2</v>
      </c>
    </row>
    <row r="571" spans="1:4" x14ac:dyDescent="0.25">
      <c r="A571" t="s">
        <v>34</v>
      </c>
      <c r="B571" t="s">
        <v>23</v>
      </c>
      <c r="C571" t="s">
        <v>495</v>
      </c>
      <c r="D571">
        <v>0.06</v>
      </c>
    </row>
    <row r="572" spans="1:4" x14ac:dyDescent="0.25">
      <c r="A572" t="s">
        <v>34</v>
      </c>
      <c r="B572" t="s">
        <v>23</v>
      </c>
      <c r="C572" t="s">
        <v>496</v>
      </c>
      <c r="D572">
        <v>0.06</v>
      </c>
    </row>
    <row r="573" spans="1:4" x14ac:dyDescent="0.25">
      <c r="A573" t="s">
        <v>34</v>
      </c>
      <c r="B573" t="s">
        <v>23</v>
      </c>
      <c r="C573" t="s">
        <v>497</v>
      </c>
      <c r="D573">
        <v>7.0000000000000007E-2</v>
      </c>
    </row>
    <row r="574" spans="1:4" x14ac:dyDescent="0.25">
      <c r="A574" t="s">
        <v>34</v>
      </c>
      <c r="B574" t="s">
        <v>23</v>
      </c>
      <c r="C574" t="s">
        <v>498</v>
      </c>
      <c r="D574">
        <v>7.0000000000000007E-2</v>
      </c>
    </row>
    <row r="575" spans="1:4" x14ac:dyDescent="0.25">
      <c r="A575" t="s">
        <v>34</v>
      </c>
      <c r="B575" t="s">
        <v>23</v>
      </c>
      <c r="C575" t="s">
        <v>499</v>
      </c>
      <c r="D575">
        <v>7.5999999999999998E-2</v>
      </c>
    </row>
    <row r="576" spans="1:4" x14ac:dyDescent="0.25">
      <c r="A576" t="s">
        <v>34</v>
      </c>
      <c r="B576" t="s">
        <v>615</v>
      </c>
      <c r="C576" t="s">
        <v>479</v>
      </c>
      <c r="D576">
        <v>2.5000000000000001E-2</v>
      </c>
    </row>
    <row r="577" spans="1:4" x14ac:dyDescent="0.25">
      <c r="A577" t="s">
        <v>34</v>
      </c>
      <c r="B577" t="s">
        <v>615</v>
      </c>
      <c r="C577" t="s">
        <v>481</v>
      </c>
      <c r="D577">
        <v>2.5999999999999999E-2</v>
      </c>
    </row>
    <row r="578" spans="1:4" x14ac:dyDescent="0.25">
      <c r="A578" t="s">
        <v>34</v>
      </c>
      <c r="B578" t="s">
        <v>615</v>
      </c>
      <c r="C578" t="s">
        <v>491</v>
      </c>
      <c r="D578">
        <v>2.5000000000000001E-2</v>
      </c>
    </row>
    <row r="579" spans="1:4" x14ac:dyDescent="0.25">
      <c r="A579" t="s">
        <v>34</v>
      </c>
      <c r="B579" t="s">
        <v>615</v>
      </c>
      <c r="C579" t="s">
        <v>492</v>
      </c>
      <c r="D579">
        <v>2.9000000000000001E-2</v>
      </c>
    </row>
    <row r="580" spans="1:4" x14ac:dyDescent="0.25">
      <c r="A580" t="s">
        <v>34</v>
      </c>
      <c r="B580" t="s">
        <v>615</v>
      </c>
      <c r="C580" t="s">
        <v>483</v>
      </c>
      <c r="D580">
        <v>0.03</v>
      </c>
    </row>
    <row r="581" spans="1:4" x14ac:dyDescent="0.25">
      <c r="A581" t="s">
        <v>34</v>
      </c>
      <c r="B581" t="s">
        <v>615</v>
      </c>
      <c r="C581" t="s">
        <v>494</v>
      </c>
      <c r="D581">
        <v>2.9000000000000001E-2</v>
      </c>
    </row>
    <row r="582" spans="1:4" x14ac:dyDescent="0.25">
      <c r="A582" t="s">
        <v>34</v>
      </c>
      <c r="B582" t="s">
        <v>615</v>
      </c>
      <c r="C582" t="s">
        <v>486</v>
      </c>
      <c r="D582">
        <v>0.03</v>
      </c>
    </row>
    <row r="583" spans="1:4" x14ac:dyDescent="0.25">
      <c r="A583" t="s">
        <v>34</v>
      </c>
      <c r="B583" t="s">
        <v>615</v>
      </c>
      <c r="C583" t="s">
        <v>487</v>
      </c>
      <c r="D583">
        <v>1.4E-2</v>
      </c>
    </row>
    <row r="584" spans="1:4" x14ac:dyDescent="0.25">
      <c r="A584" t="s">
        <v>34</v>
      </c>
      <c r="B584" t="s">
        <v>615</v>
      </c>
      <c r="C584" t="s">
        <v>493</v>
      </c>
      <c r="D584">
        <v>3.5999999999999997E-2</v>
      </c>
    </row>
    <row r="585" spans="1:4" x14ac:dyDescent="0.25">
      <c r="A585" t="s">
        <v>34</v>
      </c>
      <c r="B585" t="s">
        <v>615</v>
      </c>
      <c r="C585" t="s">
        <v>495</v>
      </c>
      <c r="D585">
        <v>2.5000000000000001E-2</v>
      </c>
    </row>
    <row r="586" spans="1:4" x14ac:dyDescent="0.25">
      <c r="A586" t="s">
        <v>34</v>
      </c>
      <c r="B586" t="s">
        <v>615</v>
      </c>
      <c r="C586" t="s">
        <v>496</v>
      </c>
      <c r="D586">
        <v>2.3E-2</v>
      </c>
    </row>
    <row r="587" spans="1:4" x14ac:dyDescent="0.25">
      <c r="A587" t="s">
        <v>34</v>
      </c>
      <c r="B587" t="s">
        <v>615</v>
      </c>
      <c r="C587" t="s">
        <v>497</v>
      </c>
      <c r="D587">
        <v>2.3E-2</v>
      </c>
    </row>
    <row r="588" spans="1:4" x14ac:dyDescent="0.25">
      <c r="A588" t="s">
        <v>34</v>
      </c>
      <c r="B588" t="s">
        <v>615</v>
      </c>
      <c r="C588" t="s">
        <v>498</v>
      </c>
      <c r="D588">
        <v>4.4999999999999998E-2</v>
      </c>
    </row>
    <row r="589" spans="1:4" x14ac:dyDescent="0.25">
      <c r="A589" t="s">
        <v>34</v>
      </c>
      <c r="B589" t="s">
        <v>615</v>
      </c>
      <c r="C589" t="s">
        <v>499</v>
      </c>
      <c r="D589">
        <v>4.4999999999999998E-2</v>
      </c>
    </row>
    <row r="590" spans="1:4" x14ac:dyDescent="0.25">
      <c r="A590" t="s">
        <v>34</v>
      </c>
      <c r="B590" t="s">
        <v>24</v>
      </c>
      <c r="C590" t="s">
        <v>479</v>
      </c>
      <c r="D590">
        <v>0.50900000000000001</v>
      </c>
    </row>
    <row r="591" spans="1:4" x14ac:dyDescent="0.25">
      <c r="A591" t="s">
        <v>34</v>
      </c>
      <c r="B591" t="s">
        <v>24</v>
      </c>
      <c r="C591" t="s">
        <v>481</v>
      </c>
      <c r="D591">
        <v>0.60499999999999998</v>
      </c>
    </row>
    <row r="592" spans="1:4" x14ac:dyDescent="0.25">
      <c r="A592" t="s">
        <v>34</v>
      </c>
      <c r="B592" t="s">
        <v>24</v>
      </c>
      <c r="C592" t="s">
        <v>491</v>
      </c>
      <c r="D592">
        <v>0.53300000000000003</v>
      </c>
    </row>
    <row r="593" spans="1:4" x14ac:dyDescent="0.25">
      <c r="A593" t="s">
        <v>34</v>
      </c>
      <c r="B593" t="s">
        <v>24</v>
      </c>
      <c r="C593" t="s">
        <v>492</v>
      </c>
      <c r="D593">
        <v>0.66400000000000003</v>
      </c>
    </row>
    <row r="594" spans="1:4" x14ac:dyDescent="0.25">
      <c r="A594" t="s">
        <v>34</v>
      </c>
      <c r="B594" t="s">
        <v>24</v>
      </c>
      <c r="C594" t="s">
        <v>483</v>
      </c>
      <c r="D594">
        <v>0.76500000000000001</v>
      </c>
    </row>
    <row r="595" spans="1:4" x14ac:dyDescent="0.25">
      <c r="A595" t="s">
        <v>34</v>
      </c>
      <c r="B595" t="s">
        <v>24</v>
      </c>
      <c r="C595" t="s">
        <v>494</v>
      </c>
      <c r="D595">
        <v>0.93500000000000005</v>
      </c>
    </row>
    <row r="596" spans="1:4" x14ac:dyDescent="0.25">
      <c r="A596" t="s">
        <v>34</v>
      </c>
      <c r="B596" t="s">
        <v>24</v>
      </c>
      <c r="C596" t="s">
        <v>486</v>
      </c>
      <c r="D596">
        <v>0.90200000000000002</v>
      </c>
    </row>
    <row r="597" spans="1:4" x14ac:dyDescent="0.25">
      <c r="A597" t="s">
        <v>34</v>
      </c>
      <c r="B597" t="s">
        <v>24</v>
      </c>
      <c r="C597" t="s">
        <v>487</v>
      </c>
      <c r="D597">
        <v>0.90200000000000002</v>
      </c>
    </row>
    <row r="598" spans="1:4" x14ac:dyDescent="0.25">
      <c r="A598" t="s">
        <v>34</v>
      </c>
      <c r="B598" t="s">
        <v>24</v>
      </c>
      <c r="C598" t="s">
        <v>493</v>
      </c>
      <c r="D598">
        <v>0.83899999999999997</v>
      </c>
    </row>
    <row r="599" spans="1:4" x14ac:dyDescent="0.25">
      <c r="A599" t="s">
        <v>34</v>
      </c>
      <c r="B599" t="s">
        <v>24</v>
      </c>
      <c r="C599" t="s">
        <v>495</v>
      </c>
      <c r="D599">
        <v>0.97799999999999998</v>
      </c>
    </row>
    <row r="600" spans="1:4" x14ac:dyDescent="0.25">
      <c r="A600" t="s">
        <v>34</v>
      </c>
      <c r="B600" t="s">
        <v>24</v>
      </c>
      <c r="C600" t="s">
        <v>496</v>
      </c>
      <c r="D600">
        <v>1.0780000000000001</v>
      </c>
    </row>
    <row r="601" spans="1:4" x14ac:dyDescent="0.25">
      <c r="A601" t="s">
        <v>34</v>
      </c>
      <c r="B601" t="s">
        <v>24</v>
      </c>
      <c r="C601" t="s">
        <v>497</v>
      </c>
      <c r="D601">
        <v>1.2030000000000001</v>
      </c>
    </row>
    <row r="602" spans="1:4" x14ac:dyDescent="0.25">
      <c r="A602" t="s">
        <v>34</v>
      </c>
      <c r="B602" t="s">
        <v>24</v>
      </c>
      <c r="C602" t="s">
        <v>498</v>
      </c>
      <c r="D602">
        <v>1.2030000000000001</v>
      </c>
    </row>
    <row r="603" spans="1:4" x14ac:dyDescent="0.25">
      <c r="A603" t="s">
        <v>34</v>
      </c>
      <c r="B603" t="s">
        <v>24</v>
      </c>
      <c r="C603" t="s">
        <v>499</v>
      </c>
      <c r="D603">
        <v>1.3759999999999999</v>
      </c>
    </row>
    <row r="604" spans="1:4" x14ac:dyDescent="0.25">
      <c r="A604" t="s">
        <v>34</v>
      </c>
      <c r="B604" t="s">
        <v>25</v>
      </c>
      <c r="C604" t="s">
        <v>479</v>
      </c>
      <c r="D604">
        <v>0.09</v>
      </c>
    </row>
    <row r="605" spans="1:4" x14ac:dyDescent="0.25">
      <c r="A605" t="s">
        <v>34</v>
      </c>
      <c r="B605" t="s">
        <v>25</v>
      </c>
      <c r="C605" t="s">
        <v>481</v>
      </c>
      <c r="D605">
        <v>0.09</v>
      </c>
    </row>
    <row r="606" spans="1:4" x14ac:dyDescent="0.25">
      <c r="A606" t="s">
        <v>34</v>
      </c>
      <c r="B606" t="s">
        <v>25</v>
      </c>
      <c r="C606" t="s">
        <v>491</v>
      </c>
      <c r="D606">
        <v>0.09</v>
      </c>
    </row>
    <row r="607" spans="1:4" x14ac:dyDescent="0.25">
      <c r="A607" t="s">
        <v>34</v>
      </c>
      <c r="B607" t="s">
        <v>25</v>
      </c>
      <c r="C607" t="s">
        <v>492</v>
      </c>
      <c r="D607">
        <v>0.13900000000000001</v>
      </c>
    </row>
    <row r="608" spans="1:4" x14ac:dyDescent="0.25">
      <c r="A608" t="s">
        <v>34</v>
      </c>
      <c r="B608" t="s">
        <v>25</v>
      </c>
      <c r="C608" t="s">
        <v>483</v>
      </c>
      <c r="D608">
        <v>0.13900000000000001</v>
      </c>
    </row>
    <row r="609" spans="1:4" x14ac:dyDescent="0.25">
      <c r="A609" t="s">
        <v>34</v>
      </c>
      <c r="B609" t="s">
        <v>25</v>
      </c>
      <c r="C609" t="s">
        <v>494</v>
      </c>
      <c r="D609">
        <v>0.14000000000000001</v>
      </c>
    </row>
    <row r="610" spans="1:4" x14ac:dyDescent="0.25">
      <c r="A610" t="s">
        <v>34</v>
      </c>
      <c r="B610" t="s">
        <v>25</v>
      </c>
      <c r="C610" t="s">
        <v>486</v>
      </c>
      <c r="D610">
        <v>0.17499999999999999</v>
      </c>
    </row>
    <row r="611" spans="1:4" x14ac:dyDescent="0.25">
      <c r="A611" t="s">
        <v>34</v>
      </c>
      <c r="B611" t="s">
        <v>25</v>
      </c>
      <c r="C611" t="s">
        <v>487</v>
      </c>
      <c r="D611">
        <v>0.14299999999999999</v>
      </c>
    </row>
    <row r="612" spans="1:4" x14ac:dyDescent="0.25">
      <c r="A612" t="s">
        <v>34</v>
      </c>
      <c r="B612" t="s">
        <v>25</v>
      </c>
      <c r="C612" t="s">
        <v>493</v>
      </c>
      <c r="D612">
        <v>0.13300000000000001</v>
      </c>
    </row>
    <row r="613" spans="1:4" x14ac:dyDescent="0.25">
      <c r="A613" t="s">
        <v>34</v>
      </c>
      <c r="B613" t="s">
        <v>25</v>
      </c>
      <c r="C613" t="s">
        <v>495</v>
      </c>
      <c r="D613">
        <v>0.216</v>
      </c>
    </row>
    <row r="614" spans="1:4" x14ac:dyDescent="0.25">
      <c r="A614" t="s">
        <v>34</v>
      </c>
      <c r="B614" t="s">
        <v>25</v>
      </c>
      <c r="C614" t="s">
        <v>496</v>
      </c>
      <c r="D614">
        <v>0.159</v>
      </c>
    </row>
    <row r="615" spans="1:4" x14ac:dyDescent="0.25">
      <c r="A615" t="s">
        <v>34</v>
      </c>
      <c r="B615" t="s">
        <v>25</v>
      </c>
      <c r="C615" t="s">
        <v>497</v>
      </c>
      <c r="D615">
        <v>0.16400000000000001</v>
      </c>
    </row>
    <row r="616" spans="1:4" x14ac:dyDescent="0.25">
      <c r="A616" t="s">
        <v>34</v>
      </c>
      <c r="B616" t="s">
        <v>25</v>
      </c>
      <c r="C616" t="s">
        <v>498</v>
      </c>
      <c r="D616">
        <v>0.186</v>
      </c>
    </row>
    <row r="617" spans="1:4" x14ac:dyDescent="0.25">
      <c r="A617" t="s">
        <v>34</v>
      </c>
      <c r="B617" t="s">
        <v>25</v>
      </c>
      <c r="C617" t="s">
        <v>499</v>
      </c>
      <c r="D617">
        <v>0.441</v>
      </c>
    </row>
    <row r="618" spans="1:4" x14ac:dyDescent="0.25">
      <c r="A618" t="s">
        <v>34</v>
      </c>
      <c r="B618" t="s">
        <v>616</v>
      </c>
      <c r="C618" t="s">
        <v>479</v>
      </c>
      <c r="D618">
        <v>0.86</v>
      </c>
    </row>
    <row r="619" spans="1:4" x14ac:dyDescent="0.25">
      <c r="A619" t="s">
        <v>34</v>
      </c>
      <c r="B619" t="s">
        <v>616</v>
      </c>
      <c r="C619" t="s">
        <v>481</v>
      </c>
      <c r="D619">
        <v>0.88</v>
      </c>
    </row>
    <row r="620" spans="1:4" x14ac:dyDescent="0.25">
      <c r="A620" t="s">
        <v>34</v>
      </c>
      <c r="B620" t="s">
        <v>616</v>
      </c>
      <c r="C620" t="s">
        <v>491</v>
      </c>
      <c r="D620">
        <v>1.1000000000000001</v>
      </c>
    </row>
    <row r="621" spans="1:4" x14ac:dyDescent="0.25">
      <c r="A621" t="s">
        <v>34</v>
      </c>
      <c r="B621" t="s">
        <v>616</v>
      </c>
      <c r="C621" t="s">
        <v>492</v>
      </c>
      <c r="D621">
        <v>1.18</v>
      </c>
    </row>
    <row r="622" spans="1:4" x14ac:dyDescent="0.25">
      <c r="A622" t="s">
        <v>34</v>
      </c>
      <c r="B622" t="s">
        <v>616</v>
      </c>
      <c r="C622" t="s">
        <v>483</v>
      </c>
      <c r="D622">
        <v>0.93</v>
      </c>
    </row>
    <row r="623" spans="1:4" x14ac:dyDescent="0.25">
      <c r="A623" t="s">
        <v>34</v>
      </c>
      <c r="B623" t="s">
        <v>616</v>
      </c>
      <c r="C623" t="s">
        <v>494</v>
      </c>
      <c r="D623">
        <v>0.83</v>
      </c>
    </row>
    <row r="624" spans="1:4" x14ac:dyDescent="0.25">
      <c r="A624" t="s">
        <v>34</v>
      </c>
      <c r="B624" t="s">
        <v>616</v>
      </c>
      <c r="C624" t="s">
        <v>486</v>
      </c>
      <c r="D624">
        <v>0.54</v>
      </c>
    </row>
    <row r="625" spans="1:4" x14ac:dyDescent="0.25">
      <c r="A625" t="s">
        <v>34</v>
      </c>
      <c r="B625" t="s">
        <v>616</v>
      </c>
      <c r="C625" t="s">
        <v>487</v>
      </c>
      <c r="D625">
        <v>0.61</v>
      </c>
    </row>
    <row r="626" spans="1:4" x14ac:dyDescent="0.25">
      <c r="A626" t="s">
        <v>34</v>
      </c>
      <c r="B626" t="s">
        <v>616</v>
      </c>
      <c r="C626" t="s">
        <v>493</v>
      </c>
      <c r="D626">
        <v>0.74</v>
      </c>
    </row>
    <row r="627" spans="1:4" x14ac:dyDescent="0.25">
      <c r="A627" t="s">
        <v>34</v>
      </c>
      <c r="B627" t="s">
        <v>616</v>
      </c>
      <c r="C627" t="s">
        <v>495</v>
      </c>
      <c r="D627">
        <v>0.31</v>
      </c>
    </row>
    <row r="628" spans="1:4" x14ac:dyDescent="0.25">
      <c r="A628" t="s">
        <v>34</v>
      </c>
      <c r="B628" t="s">
        <v>616</v>
      </c>
      <c r="C628" t="s">
        <v>496</v>
      </c>
      <c r="D628">
        <v>0.69</v>
      </c>
    </row>
    <row r="629" spans="1:4" x14ac:dyDescent="0.25">
      <c r="A629" t="s">
        <v>34</v>
      </c>
      <c r="B629" t="s">
        <v>616</v>
      </c>
      <c r="C629" t="s">
        <v>497</v>
      </c>
      <c r="D629">
        <v>0.69</v>
      </c>
    </row>
    <row r="630" spans="1:4" x14ac:dyDescent="0.25">
      <c r="A630" t="s">
        <v>34</v>
      </c>
      <c r="B630" t="s">
        <v>616</v>
      </c>
      <c r="C630" t="s">
        <v>498</v>
      </c>
      <c r="D630">
        <v>0.45</v>
      </c>
    </row>
    <row r="631" spans="1:4" x14ac:dyDescent="0.25">
      <c r="A631" t="s">
        <v>34</v>
      </c>
      <c r="B631" t="s">
        <v>616</v>
      </c>
      <c r="C631" t="s">
        <v>499</v>
      </c>
      <c r="D631">
        <v>0.45</v>
      </c>
    </row>
    <row r="632" spans="1:4" x14ac:dyDescent="0.25">
      <c r="A632" t="s">
        <v>35</v>
      </c>
      <c r="B632" t="s">
        <v>22</v>
      </c>
      <c r="C632" t="s">
        <v>479</v>
      </c>
      <c r="D632">
        <v>8.0000000000000002E-3</v>
      </c>
    </row>
    <row r="633" spans="1:4" x14ac:dyDescent="0.25">
      <c r="A633" t="s">
        <v>35</v>
      </c>
      <c r="B633" t="s">
        <v>22</v>
      </c>
      <c r="C633" t="s">
        <v>481</v>
      </c>
      <c r="D633">
        <v>7.0000000000000001E-3</v>
      </c>
    </row>
    <row r="634" spans="1:4" x14ac:dyDescent="0.25">
      <c r="A634" t="s">
        <v>35</v>
      </c>
      <c r="B634" t="s">
        <v>22</v>
      </c>
      <c r="C634" t="s">
        <v>491</v>
      </c>
      <c r="D634">
        <v>7.0000000000000001E-3</v>
      </c>
    </row>
    <row r="635" spans="1:4" x14ac:dyDescent="0.25">
      <c r="A635" t="s">
        <v>35</v>
      </c>
      <c r="B635" t="s">
        <v>22</v>
      </c>
      <c r="C635" t="s">
        <v>492</v>
      </c>
      <c r="D635">
        <v>6.0000000000000001E-3</v>
      </c>
    </row>
    <row r="636" spans="1:4" x14ac:dyDescent="0.25">
      <c r="A636" t="s">
        <v>35</v>
      </c>
      <c r="B636" t="s">
        <v>22</v>
      </c>
      <c r="C636" t="s">
        <v>483</v>
      </c>
      <c r="D636">
        <v>5.0000000000000001E-3</v>
      </c>
    </row>
    <row r="637" spans="1:4" x14ac:dyDescent="0.25">
      <c r="A637" t="s">
        <v>35</v>
      </c>
      <c r="B637" t="s">
        <v>22</v>
      </c>
      <c r="C637" t="s">
        <v>494</v>
      </c>
      <c r="D637">
        <v>3.0000000000000001E-3</v>
      </c>
    </row>
    <row r="638" spans="1:4" x14ac:dyDescent="0.25">
      <c r="A638" t="s">
        <v>35</v>
      </c>
      <c r="B638" t="s">
        <v>22</v>
      </c>
      <c r="C638" t="s">
        <v>486</v>
      </c>
      <c r="D638">
        <v>4.0000000000000001E-3</v>
      </c>
    </row>
    <row r="639" spans="1:4" x14ac:dyDescent="0.25">
      <c r="A639" t="s">
        <v>35</v>
      </c>
      <c r="B639" t="s">
        <v>22</v>
      </c>
      <c r="C639" t="s">
        <v>487</v>
      </c>
      <c r="D639">
        <v>4.0000000000000001E-3</v>
      </c>
    </row>
    <row r="640" spans="1:4" x14ac:dyDescent="0.25">
      <c r="A640" t="s">
        <v>35</v>
      </c>
      <c r="B640" t="s">
        <v>22</v>
      </c>
      <c r="C640" t="s">
        <v>493</v>
      </c>
      <c r="D640">
        <v>5.0000000000000001E-3</v>
      </c>
    </row>
    <row r="641" spans="1:4" x14ac:dyDescent="0.25">
      <c r="A641" t="s">
        <v>35</v>
      </c>
      <c r="B641" t="s">
        <v>22</v>
      </c>
      <c r="C641" t="s">
        <v>495</v>
      </c>
      <c r="D641">
        <v>3.0000000000000001E-3</v>
      </c>
    </row>
    <row r="642" spans="1:4" x14ac:dyDescent="0.25">
      <c r="A642" t="s">
        <v>35</v>
      </c>
      <c r="B642" t="s">
        <v>22</v>
      </c>
      <c r="C642" t="s">
        <v>496</v>
      </c>
      <c r="D642">
        <v>3.0000000000000001E-3</v>
      </c>
    </row>
    <row r="643" spans="1:4" x14ac:dyDescent="0.25">
      <c r="A643" t="s">
        <v>35</v>
      </c>
      <c r="B643" t="s">
        <v>22</v>
      </c>
      <c r="C643" t="s">
        <v>497</v>
      </c>
      <c r="D643">
        <v>3.0000000000000001E-3</v>
      </c>
    </row>
    <row r="644" spans="1:4" x14ac:dyDescent="0.25">
      <c r="A644" t="s">
        <v>35</v>
      </c>
      <c r="B644" t="s">
        <v>22</v>
      </c>
      <c r="C644" t="s">
        <v>498</v>
      </c>
      <c r="D644">
        <v>2E-3</v>
      </c>
    </row>
    <row r="645" spans="1:4" x14ac:dyDescent="0.25">
      <c r="A645" t="s">
        <v>35</v>
      </c>
      <c r="B645" t="s">
        <v>22</v>
      </c>
      <c r="C645" t="s">
        <v>499</v>
      </c>
      <c r="D645">
        <v>2E-3</v>
      </c>
    </row>
    <row r="646" spans="1:4" x14ac:dyDescent="0.25">
      <c r="A646" t="s">
        <v>35</v>
      </c>
      <c r="B646" t="s">
        <v>615</v>
      </c>
      <c r="C646" t="s">
        <v>479</v>
      </c>
      <c r="D646">
        <v>0.01</v>
      </c>
    </row>
    <row r="647" spans="1:4" x14ac:dyDescent="0.25">
      <c r="A647" t="s">
        <v>35</v>
      </c>
      <c r="B647" t="s">
        <v>615</v>
      </c>
      <c r="C647" t="s">
        <v>481</v>
      </c>
      <c r="D647">
        <v>8.9999999999999993E-3</v>
      </c>
    </row>
    <row r="648" spans="1:4" x14ac:dyDescent="0.25">
      <c r="A648" t="s">
        <v>35</v>
      </c>
      <c r="B648" t="s">
        <v>615</v>
      </c>
      <c r="C648" t="s">
        <v>491</v>
      </c>
      <c r="D648">
        <v>6.0000000000000001E-3</v>
      </c>
    </row>
    <row r="649" spans="1:4" x14ac:dyDescent="0.25">
      <c r="A649" t="s">
        <v>35</v>
      </c>
      <c r="B649" t="s">
        <v>615</v>
      </c>
      <c r="C649" t="s">
        <v>492</v>
      </c>
      <c r="D649">
        <v>6.0000000000000001E-3</v>
      </c>
    </row>
    <row r="650" spans="1:4" x14ac:dyDescent="0.25">
      <c r="A650" t="s">
        <v>35</v>
      </c>
      <c r="B650" t="s">
        <v>615</v>
      </c>
      <c r="C650" t="s">
        <v>483</v>
      </c>
      <c r="D650">
        <v>6.0000000000000001E-3</v>
      </c>
    </row>
    <row r="651" spans="1:4" x14ac:dyDescent="0.25">
      <c r="A651" t="s">
        <v>35</v>
      </c>
      <c r="B651" t="s">
        <v>615</v>
      </c>
      <c r="C651" t="s">
        <v>494</v>
      </c>
      <c r="D651">
        <v>6.0000000000000001E-3</v>
      </c>
    </row>
    <row r="652" spans="1:4" x14ac:dyDescent="0.25">
      <c r="A652" t="s">
        <v>35</v>
      </c>
      <c r="B652" t="s">
        <v>615</v>
      </c>
      <c r="C652" t="s">
        <v>486</v>
      </c>
      <c r="D652">
        <v>1.2999999999999999E-2</v>
      </c>
    </row>
    <row r="653" spans="1:4" x14ac:dyDescent="0.25">
      <c r="A653" t="s">
        <v>35</v>
      </c>
      <c r="B653" t="s">
        <v>615</v>
      </c>
      <c r="C653" t="s">
        <v>487</v>
      </c>
      <c r="D653">
        <v>3.0000000000000001E-3</v>
      </c>
    </row>
    <row r="654" spans="1:4" x14ac:dyDescent="0.25">
      <c r="A654" t="s">
        <v>35</v>
      </c>
      <c r="B654" t="s">
        <v>615</v>
      </c>
      <c r="C654" t="s">
        <v>493</v>
      </c>
      <c r="D654">
        <v>1.4999999999999999E-2</v>
      </c>
    </row>
    <row r="655" spans="1:4" x14ac:dyDescent="0.25">
      <c r="A655" t="s">
        <v>35</v>
      </c>
      <c r="B655" t="s">
        <v>615</v>
      </c>
      <c r="C655" t="s">
        <v>495</v>
      </c>
      <c r="D655">
        <v>8.0000000000000002E-3</v>
      </c>
    </row>
    <row r="656" spans="1:4" x14ac:dyDescent="0.25">
      <c r="A656" t="s">
        <v>35</v>
      </c>
      <c r="B656" t="s">
        <v>615</v>
      </c>
      <c r="C656" t="s">
        <v>496</v>
      </c>
      <c r="D656">
        <v>6.0000000000000001E-3</v>
      </c>
    </row>
    <row r="657" spans="1:4" x14ac:dyDescent="0.25">
      <c r="A657" t="s">
        <v>35</v>
      </c>
      <c r="B657" t="s">
        <v>615</v>
      </c>
      <c r="C657" t="s">
        <v>497</v>
      </c>
      <c r="D657">
        <v>6.0000000000000001E-3</v>
      </c>
    </row>
    <row r="658" spans="1:4" x14ac:dyDescent="0.25">
      <c r="A658" t="s">
        <v>35</v>
      </c>
      <c r="B658" t="s">
        <v>615</v>
      </c>
      <c r="C658" t="s">
        <v>498</v>
      </c>
      <c r="D658">
        <v>1.9E-2</v>
      </c>
    </row>
    <row r="659" spans="1:4" x14ac:dyDescent="0.25">
      <c r="A659" t="s">
        <v>35</v>
      </c>
      <c r="B659" t="s">
        <v>615</v>
      </c>
      <c r="C659" t="s">
        <v>499</v>
      </c>
      <c r="D659">
        <v>1.9E-2</v>
      </c>
    </row>
    <row r="660" spans="1:4" x14ac:dyDescent="0.25">
      <c r="A660" t="s">
        <v>35</v>
      </c>
      <c r="B660" t="s">
        <v>24</v>
      </c>
      <c r="C660" t="s">
        <v>479</v>
      </c>
      <c r="D660">
        <v>0.60299999999999998</v>
      </c>
    </row>
    <row r="661" spans="1:4" x14ac:dyDescent="0.25">
      <c r="A661" t="s">
        <v>35</v>
      </c>
      <c r="B661" t="s">
        <v>24</v>
      </c>
      <c r="C661" t="s">
        <v>481</v>
      </c>
      <c r="D661">
        <v>0.60199999999999998</v>
      </c>
    </row>
    <row r="662" spans="1:4" x14ac:dyDescent="0.25">
      <c r="A662" t="s">
        <v>35</v>
      </c>
      <c r="B662" t="s">
        <v>24</v>
      </c>
      <c r="C662" t="s">
        <v>491</v>
      </c>
      <c r="D662">
        <v>0.56200000000000006</v>
      </c>
    </row>
    <row r="663" spans="1:4" x14ac:dyDescent="0.25">
      <c r="A663" t="s">
        <v>35</v>
      </c>
      <c r="B663" t="s">
        <v>24</v>
      </c>
      <c r="C663" t="s">
        <v>492</v>
      </c>
      <c r="D663">
        <v>0.56299999999999994</v>
      </c>
    </row>
    <row r="664" spans="1:4" x14ac:dyDescent="0.25">
      <c r="A664" t="s">
        <v>35</v>
      </c>
      <c r="B664" t="s">
        <v>24</v>
      </c>
      <c r="C664" t="s">
        <v>483</v>
      </c>
      <c r="D664">
        <v>0.54600000000000004</v>
      </c>
    </row>
    <row r="665" spans="1:4" x14ac:dyDescent="0.25">
      <c r="A665" t="s">
        <v>35</v>
      </c>
      <c r="B665" t="s">
        <v>24</v>
      </c>
      <c r="C665" t="s">
        <v>494</v>
      </c>
      <c r="D665">
        <v>0.51500000000000001</v>
      </c>
    </row>
    <row r="666" spans="1:4" x14ac:dyDescent="0.25">
      <c r="A666" t="s">
        <v>35</v>
      </c>
      <c r="B666" t="s">
        <v>24</v>
      </c>
      <c r="C666" t="s">
        <v>486</v>
      </c>
      <c r="D666">
        <v>0.53300000000000003</v>
      </c>
    </row>
    <row r="667" spans="1:4" x14ac:dyDescent="0.25">
      <c r="A667" t="s">
        <v>35</v>
      </c>
      <c r="B667" t="s">
        <v>24</v>
      </c>
      <c r="C667" t="s">
        <v>487</v>
      </c>
      <c r="D667">
        <v>0.52500000000000002</v>
      </c>
    </row>
    <row r="668" spans="1:4" x14ac:dyDescent="0.25">
      <c r="A668" t="s">
        <v>35</v>
      </c>
      <c r="B668" t="s">
        <v>24</v>
      </c>
      <c r="C668" t="s">
        <v>493</v>
      </c>
      <c r="D668">
        <v>0.55000000000000004</v>
      </c>
    </row>
    <row r="669" spans="1:4" x14ac:dyDescent="0.25">
      <c r="A669" t="s">
        <v>35</v>
      </c>
      <c r="B669" t="s">
        <v>24</v>
      </c>
      <c r="C669" t="s">
        <v>495</v>
      </c>
      <c r="D669">
        <v>0.51400000000000001</v>
      </c>
    </row>
    <row r="670" spans="1:4" x14ac:dyDescent="0.25">
      <c r="A670" t="s">
        <v>35</v>
      </c>
      <c r="B670" t="s">
        <v>24</v>
      </c>
      <c r="C670" t="s">
        <v>496</v>
      </c>
      <c r="D670">
        <v>0.41099999999999998</v>
      </c>
    </row>
    <row r="671" spans="1:4" x14ac:dyDescent="0.25">
      <c r="A671" t="s">
        <v>35</v>
      </c>
      <c r="B671" t="s">
        <v>24</v>
      </c>
      <c r="C671" t="s">
        <v>497</v>
      </c>
      <c r="D671">
        <v>0.40500000000000003</v>
      </c>
    </row>
    <row r="672" spans="1:4" x14ac:dyDescent="0.25">
      <c r="A672" t="s">
        <v>35</v>
      </c>
      <c r="B672" t="s">
        <v>24</v>
      </c>
      <c r="C672" t="s">
        <v>498</v>
      </c>
      <c r="D672">
        <v>0.38400000000000001</v>
      </c>
    </row>
    <row r="673" spans="1:4" x14ac:dyDescent="0.25">
      <c r="A673" t="s">
        <v>35</v>
      </c>
      <c r="B673" t="s">
        <v>24</v>
      </c>
      <c r="C673" t="s">
        <v>499</v>
      </c>
      <c r="D673">
        <v>0.39100000000000001</v>
      </c>
    </row>
    <row r="674" spans="1:4" x14ac:dyDescent="0.25">
      <c r="A674" t="s">
        <v>35</v>
      </c>
      <c r="B674" t="s">
        <v>616</v>
      </c>
      <c r="C674" t="s">
        <v>479</v>
      </c>
      <c r="D674">
        <v>0.39</v>
      </c>
    </row>
    <row r="675" spans="1:4" x14ac:dyDescent="0.25">
      <c r="A675" t="s">
        <v>35</v>
      </c>
      <c r="B675" t="s">
        <v>616</v>
      </c>
      <c r="C675" t="s">
        <v>481</v>
      </c>
      <c r="D675">
        <v>0.49</v>
      </c>
    </row>
    <row r="676" spans="1:4" x14ac:dyDescent="0.25">
      <c r="A676" t="s">
        <v>35</v>
      </c>
      <c r="B676" t="s">
        <v>616</v>
      </c>
      <c r="C676" t="s">
        <v>491</v>
      </c>
      <c r="D676">
        <v>0.45</v>
      </c>
    </row>
    <row r="677" spans="1:4" x14ac:dyDescent="0.25">
      <c r="A677" t="s">
        <v>35</v>
      </c>
      <c r="B677" t="s">
        <v>616</v>
      </c>
      <c r="C677" t="s">
        <v>492</v>
      </c>
      <c r="D677">
        <v>0.52</v>
      </c>
    </row>
    <row r="678" spans="1:4" x14ac:dyDescent="0.25">
      <c r="A678" t="s">
        <v>35</v>
      </c>
      <c r="B678" t="s">
        <v>616</v>
      </c>
      <c r="C678" t="s">
        <v>483</v>
      </c>
      <c r="D678">
        <v>0.54</v>
      </c>
    </row>
    <row r="679" spans="1:4" x14ac:dyDescent="0.25">
      <c r="A679" t="s">
        <v>35</v>
      </c>
      <c r="B679" t="s">
        <v>616</v>
      </c>
      <c r="C679" t="s">
        <v>494</v>
      </c>
      <c r="D679">
        <v>0.53</v>
      </c>
    </row>
    <row r="680" spans="1:4" x14ac:dyDescent="0.25">
      <c r="A680" t="s">
        <v>35</v>
      </c>
      <c r="B680" t="s">
        <v>616</v>
      </c>
      <c r="C680" t="s">
        <v>486</v>
      </c>
      <c r="D680">
        <v>0.38</v>
      </c>
    </row>
    <row r="681" spans="1:4" x14ac:dyDescent="0.25">
      <c r="A681" t="s">
        <v>35</v>
      </c>
      <c r="B681" t="s">
        <v>616</v>
      </c>
      <c r="C681" t="s">
        <v>487</v>
      </c>
      <c r="D681">
        <v>0.46</v>
      </c>
    </row>
    <row r="682" spans="1:4" x14ac:dyDescent="0.25">
      <c r="A682" t="s">
        <v>35</v>
      </c>
      <c r="B682" t="s">
        <v>616</v>
      </c>
      <c r="C682" t="s">
        <v>493</v>
      </c>
      <c r="D682">
        <v>0.44</v>
      </c>
    </row>
    <row r="683" spans="1:4" x14ac:dyDescent="0.25">
      <c r="A683" t="s">
        <v>35</v>
      </c>
      <c r="B683" t="s">
        <v>616</v>
      </c>
      <c r="C683" t="s">
        <v>495</v>
      </c>
      <c r="D683">
        <v>0.22</v>
      </c>
    </row>
    <row r="684" spans="1:4" x14ac:dyDescent="0.25">
      <c r="A684" t="s">
        <v>35</v>
      </c>
      <c r="B684" t="s">
        <v>616</v>
      </c>
      <c r="C684" t="s">
        <v>496</v>
      </c>
      <c r="D684">
        <v>0.52</v>
      </c>
    </row>
    <row r="685" spans="1:4" x14ac:dyDescent="0.25">
      <c r="A685" t="s">
        <v>35</v>
      </c>
      <c r="B685" t="s">
        <v>616</v>
      </c>
      <c r="C685" t="s">
        <v>497</v>
      </c>
      <c r="D685">
        <v>0.52</v>
      </c>
    </row>
    <row r="686" spans="1:4" x14ac:dyDescent="0.25">
      <c r="A686" t="s">
        <v>35</v>
      </c>
      <c r="B686" t="s">
        <v>616</v>
      </c>
      <c r="C686" t="s">
        <v>498</v>
      </c>
      <c r="D686">
        <v>0.3</v>
      </c>
    </row>
    <row r="687" spans="1:4" x14ac:dyDescent="0.25">
      <c r="A687" t="s">
        <v>35</v>
      </c>
      <c r="B687" t="s">
        <v>616</v>
      </c>
      <c r="C687" t="s">
        <v>499</v>
      </c>
      <c r="D687">
        <v>0.3</v>
      </c>
    </row>
    <row r="688" spans="1:4" x14ac:dyDescent="0.25">
      <c r="A688" t="s">
        <v>36</v>
      </c>
      <c r="B688" t="s">
        <v>22</v>
      </c>
      <c r="C688" t="s">
        <v>479</v>
      </c>
      <c r="D688">
        <v>7.0000000000000001E-3</v>
      </c>
    </row>
    <row r="689" spans="1:4" x14ac:dyDescent="0.25">
      <c r="A689" t="s">
        <v>36</v>
      </c>
      <c r="B689" t="s">
        <v>22</v>
      </c>
      <c r="C689" t="s">
        <v>481</v>
      </c>
      <c r="D689">
        <v>6.0000000000000001E-3</v>
      </c>
    </row>
    <row r="690" spans="1:4" x14ac:dyDescent="0.25">
      <c r="A690" t="s">
        <v>36</v>
      </c>
      <c r="B690" t="s">
        <v>22</v>
      </c>
      <c r="C690" t="s">
        <v>491</v>
      </c>
      <c r="D690">
        <v>6.0000000000000001E-3</v>
      </c>
    </row>
    <row r="691" spans="1:4" x14ac:dyDescent="0.25">
      <c r="A691" t="s">
        <v>36</v>
      </c>
      <c r="B691" t="s">
        <v>22</v>
      </c>
      <c r="C691" t="s">
        <v>492</v>
      </c>
      <c r="D691">
        <v>5.0000000000000001E-3</v>
      </c>
    </row>
    <row r="692" spans="1:4" x14ac:dyDescent="0.25">
      <c r="A692" t="s">
        <v>36</v>
      </c>
      <c r="B692" t="s">
        <v>22</v>
      </c>
      <c r="C692" t="s">
        <v>483</v>
      </c>
      <c r="D692">
        <v>4.0000000000000001E-3</v>
      </c>
    </row>
    <row r="693" spans="1:4" x14ac:dyDescent="0.25">
      <c r="A693" t="s">
        <v>36</v>
      </c>
      <c r="B693" t="s">
        <v>22</v>
      </c>
      <c r="C693" t="s">
        <v>494</v>
      </c>
      <c r="D693">
        <v>2E-3</v>
      </c>
    </row>
    <row r="694" spans="1:4" x14ac:dyDescent="0.25">
      <c r="A694" t="s">
        <v>36</v>
      </c>
      <c r="B694" t="s">
        <v>22</v>
      </c>
      <c r="C694" t="s">
        <v>486</v>
      </c>
      <c r="D694">
        <v>3.0000000000000001E-3</v>
      </c>
    </row>
    <row r="695" spans="1:4" x14ac:dyDescent="0.25">
      <c r="A695" t="s">
        <v>36</v>
      </c>
      <c r="B695" t="s">
        <v>22</v>
      </c>
      <c r="C695" t="s">
        <v>487</v>
      </c>
      <c r="D695">
        <v>3.0000000000000001E-3</v>
      </c>
    </row>
    <row r="696" spans="1:4" x14ac:dyDescent="0.25">
      <c r="A696" t="s">
        <v>36</v>
      </c>
      <c r="B696" t="s">
        <v>22</v>
      </c>
      <c r="C696" t="s">
        <v>493</v>
      </c>
      <c r="D696">
        <v>4.0000000000000001E-3</v>
      </c>
    </row>
    <row r="697" spans="1:4" x14ac:dyDescent="0.25">
      <c r="A697" t="s">
        <v>36</v>
      </c>
      <c r="B697" t="s">
        <v>22</v>
      </c>
      <c r="C697" t="s">
        <v>495</v>
      </c>
      <c r="D697">
        <v>2E-3</v>
      </c>
    </row>
    <row r="698" spans="1:4" x14ac:dyDescent="0.25">
      <c r="A698" t="s">
        <v>36</v>
      </c>
      <c r="B698" t="s">
        <v>22</v>
      </c>
      <c r="C698" t="s">
        <v>496</v>
      </c>
      <c r="D698">
        <v>3.0000000000000001E-3</v>
      </c>
    </row>
    <row r="699" spans="1:4" x14ac:dyDescent="0.25">
      <c r="A699" t="s">
        <v>36</v>
      </c>
      <c r="B699" t="s">
        <v>22</v>
      </c>
      <c r="C699" t="s">
        <v>497</v>
      </c>
      <c r="D699">
        <v>3.0000000000000001E-3</v>
      </c>
    </row>
    <row r="700" spans="1:4" x14ac:dyDescent="0.25">
      <c r="A700" t="s">
        <v>36</v>
      </c>
      <c r="B700" t="s">
        <v>22</v>
      </c>
      <c r="C700" t="s">
        <v>498</v>
      </c>
      <c r="D700">
        <v>2E-3</v>
      </c>
    </row>
    <row r="701" spans="1:4" x14ac:dyDescent="0.25">
      <c r="A701" t="s">
        <v>36</v>
      </c>
      <c r="B701" t="s">
        <v>22</v>
      </c>
      <c r="C701" t="s">
        <v>499</v>
      </c>
      <c r="D701">
        <v>2E-3</v>
      </c>
    </row>
    <row r="702" spans="1:4" x14ac:dyDescent="0.25">
      <c r="A702" t="s">
        <v>36</v>
      </c>
      <c r="B702" t="s">
        <v>615</v>
      </c>
      <c r="C702" t="s">
        <v>479</v>
      </c>
      <c r="D702">
        <v>6.0000000000000001E-3</v>
      </c>
    </row>
    <row r="703" spans="1:4" x14ac:dyDescent="0.25">
      <c r="A703" t="s">
        <v>36</v>
      </c>
      <c r="B703" t="s">
        <v>615</v>
      </c>
      <c r="C703" t="s">
        <v>481</v>
      </c>
      <c r="D703">
        <v>5.0000000000000001E-3</v>
      </c>
    </row>
    <row r="704" spans="1:4" x14ac:dyDescent="0.25">
      <c r="A704" t="s">
        <v>36</v>
      </c>
      <c r="B704" t="s">
        <v>615</v>
      </c>
      <c r="C704" t="s">
        <v>491</v>
      </c>
      <c r="D704">
        <v>3.0000000000000001E-3</v>
      </c>
    </row>
    <row r="705" spans="1:4" x14ac:dyDescent="0.25">
      <c r="A705" t="s">
        <v>36</v>
      </c>
      <c r="B705" t="s">
        <v>615</v>
      </c>
      <c r="C705" t="s">
        <v>492</v>
      </c>
      <c r="D705">
        <v>4.0000000000000001E-3</v>
      </c>
    </row>
    <row r="706" spans="1:4" x14ac:dyDescent="0.25">
      <c r="A706" t="s">
        <v>36</v>
      </c>
      <c r="B706" t="s">
        <v>615</v>
      </c>
      <c r="C706" t="s">
        <v>483</v>
      </c>
      <c r="D706">
        <v>4.0000000000000001E-3</v>
      </c>
    </row>
    <row r="707" spans="1:4" x14ac:dyDescent="0.25">
      <c r="A707" t="s">
        <v>36</v>
      </c>
      <c r="B707" t="s">
        <v>615</v>
      </c>
      <c r="C707" t="s">
        <v>494</v>
      </c>
      <c r="D707">
        <v>5.0000000000000001E-3</v>
      </c>
    </row>
    <row r="708" spans="1:4" x14ac:dyDescent="0.25">
      <c r="A708" t="s">
        <v>36</v>
      </c>
      <c r="B708" t="s">
        <v>615</v>
      </c>
      <c r="C708" t="s">
        <v>486</v>
      </c>
      <c r="D708">
        <v>7.0000000000000001E-3</v>
      </c>
    </row>
    <row r="709" spans="1:4" x14ac:dyDescent="0.25">
      <c r="A709" t="s">
        <v>36</v>
      </c>
      <c r="B709" t="s">
        <v>615</v>
      </c>
      <c r="C709" t="s">
        <v>487</v>
      </c>
      <c r="D709">
        <v>3.0000000000000001E-3</v>
      </c>
    </row>
    <row r="710" spans="1:4" x14ac:dyDescent="0.25">
      <c r="A710" t="s">
        <v>36</v>
      </c>
      <c r="B710" t="s">
        <v>615</v>
      </c>
      <c r="C710" t="s">
        <v>493</v>
      </c>
      <c r="D710">
        <v>0.01</v>
      </c>
    </row>
    <row r="711" spans="1:4" x14ac:dyDescent="0.25">
      <c r="A711" t="s">
        <v>36</v>
      </c>
      <c r="B711" t="s">
        <v>615</v>
      </c>
      <c r="C711" t="s">
        <v>495</v>
      </c>
      <c r="D711">
        <v>7.0000000000000001E-3</v>
      </c>
    </row>
    <row r="712" spans="1:4" x14ac:dyDescent="0.25">
      <c r="A712" t="s">
        <v>36</v>
      </c>
      <c r="B712" t="s">
        <v>615</v>
      </c>
      <c r="C712" t="s">
        <v>496</v>
      </c>
      <c r="D712">
        <v>4.0000000000000001E-3</v>
      </c>
    </row>
    <row r="713" spans="1:4" x14ac:dyDescent="0.25">
      <c r="A713" t="s">
        <v>36</v>
      </c>
      <c r="B713" t="s">
        <v>615</v>
      </c>
      <c r="C713" t="s">
        <v>497</v>
      </c>
      <c r="D713">
        <v>3.0000000000000001E-3</v>
      </c>
    </row>
    <row r="714" spans="1:4" x14ac:dyDescent="0.25">
      <c r="A714" t="s">
        <v>36</v>
      </c>
      <c r="B714" t="s">
        <v>615</v>
      </c>
      <c r="C714" t="s">
        <v>498</v>
      </c>
      <c r="D714">
        <v>0.01</v>
      </c>
    </row>
    <row r="715" spans="1:4" x14ac:dyDescent="0.25">
      <c r="A715" t="s">
        <v>36</v>
      </c>
      <c r="B715" t="s">
        <v>615</v>
      </c>
      <c r="C715" t="s">
        <v>499</v>
      </c>
      <c r="D715">
        <v>0.01</v>
      </c>
    </row>
    <row r="716" spans="1:4" x14ac:dyDescent="0.25">
      <c r="A716" t="s">
        <v>36</v>
      </c>
      <c r="B716" t="s">
        <v>24</v>
      </c>
      <c r="C716" t="s">
        <v>479</v>
      </c>
      <c r="D716">
        <v>0.315</v>
      </c>
    </row>
    <row r="717" spans="1:4" x14ac:dyDescent="0.25">
      <c r="A717" t="s">
        <v>36</v>
      </c>
      <c r="B717" t="s">
        <v>24</v>
      </c>
      <c r="C717" t="s">
        <v>481</v>
      </c>
      <c r="D717">
        <v>0.315</v>
      </c>
    </row>
    <row r="718" spans="1:4" x14ac:dyDescent="0.25">
      <c r="A718" t="s">
        <v>36</v>
      </c>
      <c r="B718" t="s">
        <v>24</v>
      </c>
      <c r="C718" t="s">
        <v>491</v>
      </c>
      <c r="D718">
        <v>0.315</v>
      </c>
    </row>
    <row r="719" spans="1:4" x14ac:dyDescent="0.25">
      <c r="A719" t="s">
        <v>36</v>
      </c>
      <c r="B719" t="s">
        <v>24</v>
      </c>
      <c r="C719" t="s">
        <v>492</v>
      </c>
      <c r="D719">
        <v>0.315</v>
      </c>
    </row>
    <row r="720" spans="1:4" x14ac:dyDescent="0.25">
      <c r="A720" t="s">
        <v>36</v>
      </c>
      <c r="B720" t="s">
        <v>24</v>
      </c>
      <c r="C720" t="s">
        <v>483</v>
      </c>
      <c r="D720">
        <v>0.315</v>
      </c>
    </row>
    <row r="721" spans="1:4" x14ac:dyDescent="0.25">
      <c r="A721" t="s">
        <v>36</v>
      </c>
      <c r="B721" t="s">
        <v>24</v>
      </c>
      <c r="C721" t="s">
        <v>494</v>
      </c>
      <c r="D721">
        <v>0.315</v>
      </c>
    </row>
    <row r="722" spans="1:4" x14ac:dyDescent="0.25">
      <c r="A722" t="s">
        <v>36</v>
      </c>
      <c r="B722" t="s">
        <v>24</v>
      </c>
      <c r="C722" t="s">
        <v>486</v>
      </c>
      <c r="D722">
        <v>0.315</v>
      </c>
    </row>
    <row r="723" spans="1:4" x14ac:dyDescent="0.25">
      <c r="A723" t="s">
        <v>36</v>
      </c>
      <c r="B723" t="s">
        <v>24</v>
      </c>
      <c r="C723" t="s">
        <v>487</v>
      </c>
      <c r="D723">
        <v>0.315</v>
      </c>
    </row>
    <row r="724" spans="1:4" x14ac:dyDescent="0.25">
      <c r="A724" t="s">
        <v>36</v>
      </c>
      <c r="B724" t="s">
        <v>24</v>
      </c>
      <c r="C724" t="s">
        <v>493</v>
      </c>
      <c r="D724">
        <v>0.315</v>
      </c>
    </row>
    <row r="725" spans="1:4" x14ac:dyDescent="0.25">
      <c r="A725" t="s">
        <v>36</v>
      </c>
      <c r="B725" t="s">
        <v>24</v>
      </c>
      <c r="C725" t="s">
        <v>495</v>
      </c>
      <c r="D725">
        <v>0.315</v>
      </c>
    </row>
    <row r="726" spans="1:4" x14ac:dyDescent="0.25">
      <c r="A726" t="s">
        <v>36</v>
      </c>
      <c r="B726" t="s">
        <v>24</v>
      </c>
      <c r="C726" t="s">
        <v>496</v>
      </c>
      <c r="D726">
        <v>0.315</v>
      </c>
    </row>
    <row r="727" spans="1:4" x14ac:dyDescent="0.25">
      <c r="A727" t="s">
        <v>36</v>
      </c>
      <c r="B727" t="s">
        <v>24</v>
      </c>
      <c r="C727" t="s">
        <v>497</v>
      </c>
      <c r="D727">
        <v>0.315</v>
      </c>
    </row>
    <row r="728" spans="1:4" x14ac:dyDescent="0.25">
      <c r="A728" t="s">
        <v>36</v>
      </c>
      <c r="B728" t="s">
        <v>24</v>
      </c>
      <c r="C728" t="s">
        <v>498</v>
      </c>
      <c r="D728">
        <v>0.315</v>
      </c>
    </row>
    <row r="729" spans="1:4" x14ac:dyDescent="0.25">
      <c r="A729" t="s">
        <v>36</v>
      </c>
      <c r="B729" t="s">
        <v>24</v>
      </c>
      <c r="C729" t="s">
        <v>499</v>
      </c>
      <c r="D729">
        <v>0.315</v>
      </c>
    </row>
    <row r="730" spans="1:4" x14ac:dyDescent="0.25">
      <c r="A730" t="s">
        <v>36</v>
      </c>
      <c r="B730" t="s">
        <v>616</v>
      </c>
      <c r="C730" t="s">
        <v>479</v>
      </c>
      <c r="D730">
        <v>0.39</v>
      </c>
    </row>
    <row r="731" spans="1:4" x14ac:dyDescent="0.25">
      <c r="A731" t="s">
        <v>36</v>
      </c>
      <c r="B731" t="s">
        <v>616</v>
      </c>
      <c r="C731" t="s">
        <v>481</v>
      </c>
      <c r="D731">
        <v>0.49</v>
      </c>
    </row>
    <row r="732" spans="1:4" x14ac:dyDescent="0.25">
      <c r="A732" t="s">
        <v>36</v>
      </c>
      <c r="B732" t="s">
        <v>616</v>
      </c>
      <c r="C732" t="s">
        <v>491</v>
      </c>
      <c r="D732">
        <v>0.45</v>
      </c>
    </row>
    <row r="733" spans="1:4" x14ac:dyDescent="0.25">
      <c r="A733" t="s">
        <v>36</v>
      </c>
      <c r="B733" t="s">
        <v>616</v>
      </c>
      <c r="C733" t="s">
        <v>492</v>
      </c>
      <c r="D733">
        <v>0.52</v>
      </c>
    </row>
    <row r="734" spans="1:4" x14ac:dyDescent="0.25">
      <c r="A734" t="s">
        <v>36</v>
      </c>
      <c r="B734" t="s">
        <v>616</v>
      </c>
      <c r="C734" t="s">
        <v>483</v>
      </c>
      <c r="D734">
        <v>0.54</v>
      </c>
    </row>
    <row r="735" spans="1:4" x14ac:dyDescent="0.25">
      <c r="A735" t="s">
        <v>36</v>
      </c>
      <c r="B735" t="s">
        <v>616</v>
      </c>
      <c r="C735" t="s">
        <v>494</v>
      </c>
      <c r="D735">
        <v>0.53</v>
      </c>
    </row>
    <row r="736" spans="1:4" x14ac:dyDescent="0.25">
      <c r="A736" t="s">
        <v>36</v>
      </c>
      <c r="B736" t="s">
        <v>616</v>
      </c>
      <c r="C736" t="s">
        <v>486</v>
      </c>
      <c r="D736">
        <v>0.38</v>
      </c>
    </row>
    <row r="737" spans="1:4" x14ac:dyDescent="0.25">
      <c r="A737" t="s">
        <v>36</v>
      </c>
      <c r="B737" t="s">
        <v>616</v>
      </c>
      <c r="C737" t="s">
        <v>487</v>
      </c>
      <c r="D737">
        <v>0.46</v>
      </c>
    </row>
    <row r="738" spans="1:4" x14ac:dyDescent="0.25">
      <c r="A738" t="s">
        <v>36</v>
      </c>
      <c r="B738" t="s">
        <v>616</v>
      </c>
      <c r="C738" t="s">
        <v>493</v>
      </c>
      <c r="D738">
        <v>0.44</v>
      </c>
    </row>
    <row r="739" spans="1:4" x14ac:dyDescent="0.25">
      <c r="A739" t="s">
        <v>36</v>
      </c>
      <c r="B739" t="s">
        <v>616</v>
      </c>
      <c r="C739" t="s">
        <v>495</v>
      </c>
      <c r="D739">
        <v>0.22</v>
      </c>
    </row>
    <row r="740" spans="1:4" x14ac:dyDescent="0.25">
      <c r="A740" t="s">
        <v>36</v>
      </c>
      <c r="B740" t="s">
        <v>616</v>
      </c>
      <c r="C740" t="s">
        <v>496</v>
      </c>
      <c r="D740">
        <v>0.52</v>
      </c>
    </row>
    <row r="741" spans="1:4" x14ac:dyDescent="0.25">
      <c r="A741" t="s">
        <v>36</v>
      </c>
      <c r="B741" t="s">
        <v>616</v>
      </c>
      <c r="C741" t="s">
        <v>497</v>
      </c>
      <c r="D741">
        <v>0.52</v>
      </c>
    </row>
    <row r="742" spans="1:4" x14ac:dyDescent="0.25">
      <c r="A742" t="s">
        <v>36</v>
      </c>
      <c r="B742" t="s">
        <v>616</v>
      </c>
      <c r="C742" t="s">
        <v>498</v>
      </c>
      <c r="D742">
        <v>0.3</v>
      </c>
    </row>
    <row r="743" spans="1:4" x14ac:dyDescent="0.25">
      <c r="A743" t="s">
        <v>36</v>
      </c>
      <c r="B743" t="s">
        <v>616</v>
      </c>
      <c r="C743" t="s">
        <v>499</v>
      </c>
      <c r="D743">
        <v>0.3</v>
      </c>
    </row>
    <row r="744" spans="1:4" x14ac:dyDescent="0.25">
      <c r="A744" t="s">
        <v>37</v>
      </c>
      <c r="B744" t="s">
        <v>5</v>
      </c>
      <c r="C744" t="s">
        <v>479</v>
      </c>
      <c r="D744">
        <v>13.43</v>
      </c>
    </row>
    <row r="745" spans="1:4" x14ac:dyDescent="0.25">
      <c r="A745" t="s">
        <v>37</v>
      </c>
      <c r="B745" t="s">
        <v>5</v>
      </c>
      <c r="C745" t="s">
        <v>481</v>
      </c>
      <c r="D745">
        <v>13.74</v>
      </c>
    </row>
    <row r="746" spans="1:4" x14ac:dyDescent="0.25">
      <c r="A746" t="s">
        <v>37</v>
      </c>
      <c r="B746" t="s">
        <v>5</v>
      </c>
      <c r="C746" t="s">
        <v>491</v>
      </c>
      <c r="D746">
        <v>14.12</v>
      </c>
    </row>
    <row r="747" spans="1:4" x14ac:dyDescent="0.25">
      <c r="A747" t="s">
        <v>37</v>
      </c>
      <c r="B747" t="s">
        <v>5</v>
      </c>
      <c r="C747" t="s">
        <v>492</v>
      </c>
      <c r="D747">
        <v>14.43</v>
      </c>
    </row>
    <row r="748" spans="1:4" x14ac:dyDescent="0.25">
      <c r="A748" t="s">
        <v>37</v>
      </c>
      <c r="B748" t="s">
        <v>5</v>
      </c>
      <c r="C748" t="s">
        <v>483</v>
      </c>
      <c r="D748">
        <v>14.89</v>
      </c>
    </row>
    <row r="749" spans="1:4" x14ac:dyDescent="0.25">
      <c r="A749" t="s">
        <v>37</v>
      </c>
      <c r="B749" t="s">
        <v>5</v>
      </c>
      <c r="C749" t="s">
        <v>494</v>
      </c>
      <c r="D749">
        <v>16.55</v>
      </c>
    </row>
    <row r="750" spans="1:4" x14ac:dyDescent="0.25">
      <c r="A750" t="s">
        <v>37</v>
      </c>
      <c r="B750" t="s">
        <v>5</v>
      </c>
      <c r="C750" t="s">
        <v>486</v>
      </c>
      <c r="D750">
        <v>15.92</v>
      </c>
    </row>
    <row r="751" spans="1:4" x14ac:dyDescent="0.25">
      <c r="A751" t="s">
        <v>37</v>
      </c>
      <c r="B751" t="s">
        <v>5</v>
      </c>
      <c r="C751" t="s">
        <v>487</v>
      </c>
      <c r="D751">
        <v>16.03</v>
      </c>
    </row>
    <row r="752" spans="1:4" x14ac:dyDescent="0.25">
      <c r="A752" t="s">
        <v>37</v>
      </c>
      <c r="B752" t="s">
        <v>5</v>
      </c>
      <c r="C752" t="s">
        <v>493</v>
      </c>
      <c r="D752">
        <v>16.13</v>
      </c>
    </row>
    <row r="753" spans="1:4" x14ac:dyDescent="0.25">
      <c r="A753" t="s">
        <v>37</v>
      </c>
      <c r="B753" t="s">
        <v>5</v>
      </c>
      <c r="C753" t="s">
        <v>495</v>
      </c>
      <c r="D753">
        <v>16.73</v>
      </c>
    </row>
    <row r="754" spans="1:4" x14ac:dyDescent="0.25">
      <c r="A754" t="s">
        <v>37</v>
      </c>
      <c r="B754" t="s">
        <v>5</v>
      </c>
      <c r="C754" t="s">
        <v>496</v>
      </c>
      <c r="D754">
        <v>15.21</v>
      </c>
    </row>
    <row r="755" spans="1:4" x14ac:dyDescent="0.25">
      <c r="A755" t="s">
        <v>37</v>
      </c>
      <c r="B755" t="s">
        <v>5</v>
      </c>
      <c r="C755" t="s">
        <v>497</v>
      </c>
      <c r="D755">
        <v>17.010000000000002</v>
      </c>
    </row>
    <row r="756" spans="1:4" x14ac:dyDescent="0.25">
      <c r="A756" t="s">
        <v>37</v>
      </c>
      <c r="B756" t="s">
        <v>5</v>
      </c>
      <c r="C756" t="s">
        <v>498</v>
      </c>
      <c r="D756">
        <v>16.96</v>
      </c>
    </row>
    <row r="757" spans="1:4" x14ac:dyDescent="0.25">
      <c r="A757" t="s">
        <v>37</v>
      </c>
      <c r="B757" t="s">
        <v>5</v>
      </c>
      <c r="C757" t="s">
        <v>499</v>
      </c>
      <c r="D757">
        <v>17.510000000000002</v>
      </c>
    </row>
    <row r="758" spans="1:4" x14ac:dyDescent="0.25">
      <c r="A758" t="s">
        <v>37</v>
      </c>
      <c r="B758" t="s">
        <v>22</v>
      </c>
      <c r="C758" t="s">
        <v>479</v>
      </c>
      <c r="D758">
        <v>0.05</v>
      </c>
    </row>
    <row r="759" spans="1:4" x14ac:dyDescent="0.25">
      <c r="A759" t="s">
        <v>37</v>
      </c>
      <c r="B759" t="s">
        <v>22</v>
      </c>
      <c r="C759" t="s">
        <v>481</v>
      </c>
      <c r="D759">
        <v>0.05</v>
      </c>
    </row>
    <row r="760" spans="1:4" x14ac:dyDescent="0.25">
      <c r="A760" t="s">
        <v>37</v>
      </c>
      <c r="B760" t="s">
        <v>22</v>
      </c>
      <c r="C760" t="s">
        <v>491</v>
      </c>
      <c r="D760">
        <v>0.05</v>
      </c>
    </row>
    <row r="761" spans="1:4" x14ac:dyDescent="0.25">
      <c r="A761" t="s">
        <v>37</v>
      </c>
      <c r="B761" t="s">
        <v>22</v>
      </c>
      <c r="C761" t="s">
        <v>492</v>
      </c>
      <c r="D761">
        <v>0.05</v>
      </c>
    </row>
    <row r="762" spans="1:4" x14ac:dyDescent="0.25">
      <c r="A762" t="s">
        <v>37</v>
      </c>
      <c r="B762" t="s">
        <v>22</v>
      </c>
      <c r="C762" t="s">
        <v>483</v>
      </c>
      <c r="D762">
        <v>4.8000000000000001E-2</v>
      </c>
    </row>
    <row r="763" spans="1:4" x14ac:dyDescent="0.25">
      <c r="A763" t="s">
        <v>37</v>
      </c>
      <c r="B763" t="s">
        <v>22</v>
      </c>
      <c r="C763" t="s">
        <v>494</v>
      </c>
      <c r="D763">
        <v>4.4999999999999998E-2</v>
      </c>
    </row>
    <row r="764" spans="1:4" x14ac:dyDescent="0.25">
      <c r="A764" t="s">
        <v>37</v>
      </c>
      <c r="B764" t="s">
        <v>22</v>
      </c>
      <c r="C764" t="s">
        <v>486</v>
      </c>
      <c r="D764">
        <v>4.7E-2</v>
      </c>
    </row>
    <row r="765" spans="1:4" x14ac:dyDescent="0.25">
      <c r="A765" t="s">
        <v>37</v>
      </c>
      <c r="B765" t="s">
        <v>22</v>
      </c>
      <c r="C765" t="s">
        <v>487</v>
      </c>
      <c r="D765">
        <v>4.5999999999999999E-2</v>
      </c>
    </row>
    <row r="766" spans="1:4" x14ac:dyDescent="0.25">
      <c r="A766" t="s">
        <v>37</v>
      </c>
      <c r="B766" t="s">
        <v>22</v>
      </c>
      <c r="C766" t="s">
        <v>493</v>
      </c>
      <c r="D766">
        <v>4.8000000000000001E-2</v>
      </c>
    </row>
    <row r="767" spans="1:4" x14ac:dyDescent="0.25">
      <c r="A767" t="s">
        <v>37</v>
      </c>
      <c r="B767" t="s">
        <v>22</v>
      </c>
      <c r="C767" t="s">
        <v>495</v>
      </c>
      <c r="D767">
        <v>4.4999999999999998E-2</v>
      </c>
    </row>
    <row r="768" spans="1:4" x14ac:dyDescent="0.25">
      <c r="A768" t="s">
        <v>37</v>
      </c>
      <c r="B768" t="s">
        <v>22</v>
      </c>
      <c r="C768" t="s">
        <v>496</v>
      </c>
      <c r="D768">
        <v>4.4999999999999998E-2</v>
      </c>
    </row>
    <row r="769" spans="1:4" x14ac:dyDescent="0.25">
      <c r="A769" t="s">
        <v>37</v>
      </c>
      <c r="B769" t="s">
        <v>22</v>
      </c>
      <c r="C769" t="s">
        <v>497</v>
      </c>
      <c r="D769">
        <v>4.2999999999999997E-2</v>
      </c>
    </row>
    <row r="770" spans="1:4" x14ac:dyDescent="0.25">
      <c r="A770" t="s">
        <v>37</v>
      </c>
      <c r="B770" t="s">
        <v>22</v>
      </c>
      <c r="C770" t="s">
        <v>498</v>
      </c>
      <c r="D770">
        <v>4.2000000000000003E-2</v>
      </c>
    </row>
    <row r="771" spans="1:4" x14ac:dyDescent="0.25">
      <c r="A771" t="s">
        <v>37</v>
      </c>
      <c r="B771" t="s">
        <v>22</v>
      </c>
      <c r="C771" t="s">
        <v>499</v>
      </c>
      <c r="D771">
        <v>4.2000000000000003E-2</v>
      </c>
    </row>
    <row r="772" spans="1:4" x14ac:dyDescent="0.25">
      <c r="A772" t="s">
        <v>37</v>
      </c>
      <c r="B772" t="s">
        <v>23</v>
      </c>
      <c r="C772" t="s">
        <v>479</v>
      </c>
      <c r="D772">
        <v>0.06</v>
      </c>
    </row>
    <row r="773" spans="1:4" x14ac:dyDescent="0.25">
      <c r="A773" t="s">
        <v>37</v>
      </c>
      <c r="B773" t="s">
        <v>23</v>
      </c>
      <c r="C773" t="s">
        <v>481</v>
      </c>
      <c r="D773">
        <v>6.5000000000000002E-2</v>
      </c>
    </row>
    <row r="774" spans="1:4" x14ac:dyDescent="0.25">
      <c r="A774" t="s">
        <v>37</v>
      </c>
      <c r="B774" t="s">
        <v>23</v>
      </c>
      <c r="C774" t="s">
        <v>491</v>
      </c>
      <c r="D774">
        <v>0.08</v>
      </c>
    </row>
    <row r="775" spans="1:4" x14ac:dyDescent="0.25">
      <c r="A775" t="s">
        <v>37</v>
      </c>
      <c r="B775" t="s">
        <v>23</v>
      </c>
      <c r="C775" t="s">
        <v>492</v>
      </c>
      <c r="D775">
        <v>8.5000000000000006E-2</v>
      </c>
    </row>
    <row r="776" spans="1:4" x14ac:dyDescent="0.25">
      <c r="A776" t="s">
        <v>37</v>
      </c>
      <c r="B776" t="s">
        <v>23</v>
      </c>
      <c r="C776" t="s">
        <v>483</v>
      </c>
      <c r="D776">
        <v>0.09</v>
      </c>
    </row>
    <row r="777" spans="1:4" x14ac:dyDescent="0.25">
      <c r="A777" t="s">
        <v>37</v>
      </c>
      <c r="B777" t="s">
        <v>23</v>
      </c>
      <c r="C777" t="s">
        <v>494</v>
      </c>
      <c r="D777">
        <v>0.125</v>
      </c>
    </row>
    <row r="778" spans="1:4" x14ac:dyDescent="0.25">
      <c r="A778" t="s">
        <v>37</v>
      </c>
      <c r="B778" t="s">
        <v>23</v>
      </c>
      <c r="C778" t="s">
        <v>486</v>
      </c>
      <c r="D778">
        <v>0.11</v>
      </c>
    </row>
    <row r="779" spans="1:4" x14ac:dyDescent="0.25">
      <c r="A779" t="s">
        <v>37</v>
      </c>
      <c r="B779" t="s">
        <v>23</v>
      </c>
      <c r="C779" t="s">
        <v>487</v>
      </c>
      <c r="D779">
        <v>0.115</v>
      </c>
    </row>
    <row r="780" spans="1:4" x14ac:dyDescent="0.25">
      <c r="A780" t="s">
        <v>37</v>
      </c>
      <c r="B780" t="s">
        <v>23</v>
      </c>
      <c r="C780" t="s">
        <v>493</v>
      </c>
      <c r="D780">
        <v>0.115</v>
      </c>
    </row>
    <row r="781" spans="1:4" x14ac:dyDescent="0.25">
      <c r="A781" t="s">
        <v>37</v>
      </c>
      <c r="B781" t="s">
        <v>23</v>
      </c>
      <c r="C781" t="s">
        <v>495</v>
      </c>
      <c r="D781">
        <v>0.125</v>
      </c>
    </row>
    <row r="782" spans="1:4" x14ac:dyDescent="0.25">
      <c r="A782" t="s">
        <v>37</v>
      </c>
      <c r="B782" t="s">
        <v>23</v>
      </c>
      <c r="C782" t="s">
        <v>496</v>
      </c>
      <c r="D782">
        <v>0.1</v>
      </c>
    </row>
    <row r="783" spans="1:4" x14ac:dyDescent="0.25">
      <c r="A783" t="s">
        <v>37</v>
      </c>
      <c r="B783" t="s">
        <v>23</v>
      </c>
      <c r="C783" t="s">
        <v>497</v>
      </c>
      <c r="D783">
        <v>0.13</v>
      </c>
    </row>
    <row r="784" spans="1:4" x14ac:dyDescent="0.25">
      <c r="A784" t="s">
        <v>37</v>
      </c>
      <c r="B784" t="s">
        <v>23</v>
      </c>
      <c r="C784" t="s">
        <v>498</v>
      </c>
      <c r="D784">
        <v>0.14000000000000001</v>
      </c>
    </row>
    <row r="785" spans="1:4" x14ac:dyDescent="0.25">
      <c r="A785" t="s">
        <v>37</v>
      </c>
      <c r="B785" t="s">
        <v>23</v>
      </c>
      <c r="C785" t="s">
        <v>499</v>
      </c>
      <c r="D785">
        <v>0.15</v>
      </c>
    </row>
    <row r="786" spans="1:4" x14ac:dyDescent="0.25">
      <c r="A786" t="s">
        <v>37</v>
      </c>
      <c r="B786" t="s">
        <v>615</v>
      </c>
      <c r="C786" t="s">
        <v>479</v>
      </c>
      <c r="D786">
        <v>0.04</v>
      </c>
    </row>
    <row r="787" spans="1:4" x14ac:dyDescent="0.25">
      <c r="A787" t="s">
        <v>37</v>
      </c>
      <c r="B787" t="s">
        <v>615</v>
      </c>
      <c r="C787" t="s">
        <v>481</v>
      </c>
      <c r="D787">
        <v>0.04</v>
      </c>
    </row>
    <row r="788" spans="1:4" x14ac:dyDescent="0.25">
      <c r="A788" t="s">
        <v>37</v>
      </c>
      <c r="B788" t="s">
        <v>615</v>
      </c>
      <c r="C788" t="s">
        <v>491</v>
      </c>
      <c r="D788">
        <v>0.04</v>
      </c>
    </row>
    <row r="789" spans="1:4" x14ac:dyDescent="0.25">
      <c r="A789" t="s">
        <v>37</v>
      </c>
      <c r="B789" t="s">
        <v>615</v>
      </c>
      <c r="C789" t="s">
        <v>492</v>
      </c>
      <c r="D789">
        <v>0.04</v>
      </c>
    </row>
    <row r="790" spans="1:4" x14ac:dyDescent="0.25">
      <c r="A790" t="s">
        <v>37</v>
      </c>
      <c r="B790" t="s">
        <v>615</v>
      </c>
      <c r="C790" t="s">
        <v>483</v>
      </c>
      <c r="D790">
        <v>0.04</v>
      </c>
    </row>
    <row r="791" spans="1:4" x14ac:dyDescent="0.25">
      <c r="A791" t="s">
        <v>37</v>
      </c>
      <c r="B791" t="s">
        <v>615</v>
      </c>
      <c r="C791" t="s">
        <v>494</v>
      </c>
      <c r="D791">
        <v>0.04</v>
      </c>
    </row>
    <row r="792" spans="1:4" x14ac:dyDescent="0.25">
      <c r="A792" t="s">
        <v>37</v>
      </c>
      <c r="B792" t="s">
        <v>615</v>
      </c>
      <c r="C792" t="s">
        <v>486</v>
      </c>
      <c r="D792">
        <v>4.8000000000000001E-2</v>
      </c>
    </row>
    <row r="793" spans="1:4" x14ac:dyDescent="0.25">
      <c r="A793" t="s">
        <v>37</v>
      </c>
      <c r="B793" t="s">
        <v>615</v>
      </c>
      <c r="C793" t="s">
        <v>487</v>
      </c>
      <c r="D793">
        <v>2.5000000000000001E-2</v>
      </c>
    </row>
    <row r="794" spans="1:4" x14ac:dyDescent="0.25">
      <c r="A794" t="s">
        <v>37</v>
      </c>
      <c r="B794" t="s">
        <v>615</v>
      </c>
      <c r="C794" t="s">
        <v>493</v>
      </c>
      <c r="D794">
        <v>5.2999999999999999E-2</v>
      </c>
    </row>
    <row r="795" spans="1:4" x14ac:dyDescent="0.25">
      <c r="A795" t="s">
        <v>37</v>
      </c>
      <c r="B795" t="s">
        <v>615</v>
      </c>
      <c r="C795" t="s">
        <v>495</v>
      </c>
      <c r="D795">
        <v>4.2000000000000003E-2</v>
      </c>
    </row>
    <row r="796" spans="1:4" x14ac:dyDescent="0.25">
      <c r="A796" t="s">
        <v>37</v>
      </c>
      <c r="B796" t="s">
        <v>615</v>
      </c>
      <c r="C796" t="s">
        <v>496</v>
      </c>
      <c r="D796">
        <v>4.2999999999999997E-2</v>
      </c>
    </row>
    <row r="797" spans="1:4" x14ac:dyDescent="0.25">
      <c r="A797" t="s">
        <v>37</v>
      </c>
      <c r="B797" t="s">
        <v>615</v>
      </c>
      <c r="C797" t="s">
        <v>497</v>
      </c>
      <c r="D797">
        <v>4.2999999999999997E-2</v>
      </c>
    </row>
    <row r="798" spans="1:4" x14ac:dyDescent="0.25">
      <c r="A798" t="s">
        <v>37</v>
      </c>
      <c r="B798" t="s">
        <v>615</v>
      </c>
      <c r="C798" t="s">
        <v>498</v>
      </c>
      <c r="D798">
        <v>7.0000000000000007E-2</v>
      </c>
    </row>
    <row r="799" spans="1:4" x14ac:dyDescent="0.25">
      <c r="A799" t="s">
        <v>37</v>
      </c>
      <c r="B799" t="s">
        <v>615</v>
      </c>
      <c r="C799" t="s">
        <v>499</v>
      </c>
      <c r="D799">
        <v>7.0000000000000007E-2</v>
      </c>
    </row>
    <row r="800" spans="1:4" x14ac:dyDescent="0.25">
      <c r="A800" t="s">
        <v>37</v>
      </c>
      <c r="B800" t="s">
        <v>24</v>
      </c>
      <c r="C800" t="s">
        <v>479</v>
      </c>
      <c r="D800">
        <v>2.9929999999999999</v>
      </c>
    </row>
    <row r="801" spans="1:4" x14ac:dyDescent="0.25">
      <c r="A801" t="s">
        <v>37</v>
      </c>
      <c r="B801" t="s">
        <v>24</v>
      </c>
      <c r="C801" t="s">
        <v>481</v>
      </c>
      <c r="D801">
        <v>2.9929999999999999</v>
      </c>
    </row>
    <row r="802" spans="1:4" x14ac:dyDescent="0.25">
      <c r="A802" t="s">
        <v>37</v>
      </c>
      <c r="B802" t="s">
        <v>24</v>
      </c>
      <c r="C802" t="s">
        <v>491</v>
      </c>
      <c r="D802">
        <v>2.984</v>
      </c>
    </row>
    <row r="803" spans="1:4" x14ac:dyDescent="0.25">
      <c r="A803" t="s">
        <v>37</v>
      </c>
      <c r="B803" t="s">
        <v>24</v>
      </c>
      <c r="C803" t="s">
        <v>492</v>
      </c>
      <c r="D803">
        <v>3.0539999999999998</v>
      </c>
    </row>
    <row r="804" spans="1:4" x14ac:dyDescent="0.25">
      <c r="A804" t="s">
        <v>37</v>
      </c>
      <c r="B804" t="s">
        <v>24</v>
      </c>
      <c r="C804" t="s">
        <v>483</v>
      </c>
      <c r="D804">
        <v>3.133</v>
      </c>
    </row>
    <row r="805" spans="1:4" x14ac:dyDescent="0.25">
      <c r="A805" t="s">
        <v>37</v>
      </c>
      <c r="B805" t="s">
        <v>24</v>
      </c>
      <c r="C805" t="s">
        <v>494</v>
      </c>
      <c r="D805">
        <v>3.2069999999999999</v>
      </c>
    </row>
    <row r="806" spans="1:4" x14ac:dyDescent="0.25">
      <c r="A806" t="s">
        <v>37</v>
      </c>
      <c r="B806" t="s">
        <v>24</v>
      </c>
      <c r="C806" t="s">
        <v>486</v>
      </c>
      <c r="D806">
        <v>3.1219999999999999</v>
      </c>
    </row>
    <row r="807" spans="1:4" x14ac:dyDescent="0.25">
      <c r="A807" t="s">
        <v>37</v>
      </c>
      <c r="B807" t="s">
        <v>24</v>
      </c>
      <c r="C807" t="s">
        <v>487</v>
      </c>
      <c r="D807">
        <v>3.0960000000000001</v>
      </c>
    </row>
    <row r="808" spans="1:4" x14ac:dyDescent="0.25">
      <c r="A808" t="s">
        <v>37</v>
      </c>
      <c r="B808" t="s">
        <v>24</v>
      </c>
      <c r="C808" t="s">
        <v>493</v>
      </c>
      <c r="D808">
        <v>3.13</v>
      </c>
    </row>
    <row r="809" spans="1:4" x14ac:dyDescent="0.25">
      <c r="A809" t="s">
        <v>37</v>
      </c>
      <c r="B809" t="s">
        <v>24</v>
      </c>
      <c r="C809" t="s">
        <v>495</v>
      </c>
      <c r="D809">
        <v>3.121</v>
      </c>
    </row>
    <row r="810" spans="1:4" x14ac:dyDescent="0.25">
      <c r="A810" t="s">
        <v>37</v>
      </c>
      <c r="B810" t="s">
        <v>24</v>
      </c>
      <c r="C810" t="s">
        <v>496</v>
      </c>
      <c r="D810">
        <v>3.085</v>
      </c>
    </row>
    <row r="811" spans="1:4" x14ac:dyDescent="0.25">
      <c r="A811" t="s">
        <v>37</v>
      </c>
      <c r="B811" t="s">
        <v>24</v>
      </c>
      <c r="C811" t="s">
        <v>497</v>
      </c>
      <c r="D811">
        <v>3.1560000000000001</v>
      </c>
    </row>
    <row r="812" spans="1:4" x14ac:dyDescent="0.25">
      <c r="A812" t="s">
        <v>37</v>
      </c>
      <c r="B812" t="s">
        <v>24</v>
      </c>
      <c r="C812" t="s">
        <v>498</v>
      </c>
      <c r="D812">
        <v>3.032</v>
      </c>
    </row>
    <row r="813" spans="1:4" x14ac:dyDescent="0.25">
      <c r="A813" t="s">
        <v>37</v>
      </c>
      <c r="B813" t="s">
        <v>24</v>
      </c>
      <c r="C813" t="s">
        <v>499</v>
      </c>
      <c r="D813">
        <v>3.0070000000000001</v>
      </c>
    </row>
    <row r="814" spans="1:4" x14ac:dyDescent="0.25">
      <c r="A814" t="s">
        <v>37</v>
      </c>
      <c r="B814" t="s">
        <v>25</v>
      </c>
      <c r="C814" t="s">
        <v>479</v>
      </c>
      <c r="D814">
        <v>0.82199999999999995</v>
      </c>
    </row>
    <row r="815" spans="1:4" x14ac:dyDescent="0.25">
      <c r="A815" t="s">
        <v>37</v>
      </c>
      <c r="B815" t="s">
        <v>25</v>
      </c>
      <c r="C815" t="s">
        <v>481</v>
      </c>
      <c r="D815">
        <v>0.82199999999999995</v>
      </c>
    </row>
    <row r="816" spans="1:4" x14ac:dyDescent="0.25">
      <c r="A816" t="s">
        <v>37</v>
      </c>
      <c r="B816" t="s">
        <v>25</v>
      </c>
      <c r="C816" t="s">
        <v>491</v>
      </c>
      <c r="D816">
        <v>0.82199999999999995</v>
      </c>
    </row>
    <row r="817" spans="1:4" x14ac:dyDescent="0.25">
      <c r="A817" t="s">
        <v>37</v>
      </c>
      <c r="B817" t="s">
        <v>25</v>
      </c>
      <c r="C817" t="s">
        <v>492</v>
      </c>
      <c r="D817">
        <v>0.95699999999999996</v>
      </c>
    </row>
    <row r="818" spans="1:4" x14ac:dyDescent="0.25">
      <c r="A818" t="s">
        <v>37</v>
      </c>
      <c r="B818" t="s">
        <v>25</v>
      </c>
      <c r="C818" t="s">
        <v>483</v>
      </c>
      <c r="D818">
        <v>1.365</v>
      </c>
    </row>
    <row r="819" spans="1:4" x14ac:dyDescent="0.25">
      <c r="A819" t="s">
        <v>37</v>
      </c>
      <c r="B819" t="s">
        <v>25</v>
      </c>
      <c r="C819" t="s">
        <v>494</v>
      </c>
      <c r="D819">
        <v>1.4470000000000001</v>
      </c>
    </row>
    <row r="820" spans="1:4" x14ac:dyDescent="0.25">
      <c r="A820" t="s">
        <v>37</v>
      </c>
      <c r="B820" t="s">
        <v>25</v>
      </c>
      <c r="C820" t="s">
        <v>486</v>
      </c>
      <c r="D820">
        <v>1.895</v>
      </c>
    </row>
    <row r="821" spans="1:4" x14ac:dyDescent="0.25">
      <c r="A821" t="s">
        <v>37</v>
      </c>
      <c r="B821" t="s">
        <v>25</v>
      </c>
      <c r="C821" t="s">
        <v>487</v>
      </c>
      <c r="D821">
        <v>1.9019999999999999</v>
      </c>
    </row>
    <row r="822" spans="1:4" x14ac:dyDescent="0.25">
      <c r="A822" t="s">
        <v>37</v>
      </c>
      <c r="B822" t="s">
        <v>25</v>
      </c>
      <c r="C822" t="s">
        <v>493</v>
      </c>
      <c r="D822">
        <v>1.8049999999999999</v>
      </c>
    </row>
    <row r="823" spans="1:4" x14ac:dyDescent="0.25">
      <c r="A823" t="s">
        <v>37</v>
      </c>
      <c r="B823" t="s">
        <v>25</v>
      </c>
      <c r="C823" t="s">
        <v>495</v>
      </c>
      <c r="D823">
        <v>2.2160000000000002</v>
      </c>
    </row>
    <row r="824" spans="1:4" x14ac:dyDescent="0.25">
      <c r="A824" t="s">
        <v>37</v>
      </c>
      <c r="B824" t="s">
        <v>25</v>
      </c>
      <c r="C824" t="s">
        <v>496</v>
      </c>
      <c r="D824">
        <v>1.4219999999999999</v>
      </c>
    </row>
    <row r="825" spans="1:4" x14ac:dyDescent="0.25">
      <c r="A825" t="s">
        <v>37</v>
      </c>
      <c r="B825" t="s">
        <v>25</v>
      </c>
      <c r="C825" t="s">
        <v>497</v>
      </c>
      <c r="D825">
        <v>2.0190000000000001</v>
      </c>
    </row>
    <row r="826" spans="1:4" x14ac:dyDescent="0.25">
      <c r="A826" t="s">
        <v>37</v>
      </c>
      <c r="B826" t="s">
        <v>25</v>
      </c>
      <c r="C826" t="s">
        <v>498</v>
      </c>
      <c r="D826">
        <v>2.1219999999999999</v>
      </c>
    </row>
    <row r="827" spans="1:4" x14ac:dyDescent="0.25">
      <c r="A827" t="s">
        <v>37</v>
      </c>
      <c r="B827" t="s">
        <v>25</v>
      </c>
      <c r="C827" t="s">
        <v>499</v>
      </c>
      <c r="D827">
        <v>2.544</v>
      </c>
    </row>
    <row r="828" spans="1:4" x14ac:dyDescent="0.25">
      <c r="A828" t="s">
        <v>37</v>
      </c>
      <c r="B828" t="s">
        <v>616</v>
      </c>
      <c r="C828" t="s">
        <v>479</v>
      </c>
      <c r="D828">
        <v>1.01</v>
      </c>
    </row>
    <row r="829" spans="1:4" x14ac:dyDescent="0.25">
      <c r="A829" t="s">
        <v>37</v>
      </c>
      <c r="B829" t="s">
        <v>616</v>
      </c>
      <c r="C829" t="s">
        <v>481</v>
      </c>
      <c r="D829">
        <v>1.01</v>
      </c>
    </row>
    <row r="830" spans="1:4" x14ac:dyDescent="0.25">
      <c r="A830" t="s">
        <v>37</v>
      </c>
      <c r="B830" t="s">
        <v>616</v>
      </c>
      <c r="C830" t="s">
        <v>491</v>
      </c>
      <c r="D830">
        <v>1.01</v>
      </c>
    </row>
    <row r="831" spans="1:4" x14ac:dyDescent="0.25">
      <c r="A831" t="s">
        <v>37</v>
      </c>
      <c r="B831" t="s">
        <v>616</v>
      </c>
      <c r="C831" t="s">
        <v>492</v>
      </c>
      <c r="D831">
        <v>1.01</v>
      </c>
    </row>
    <row r="832" spans="1:4" x14ac:dyDescent="0.25">
      <c r="A832" t="s">
        <v>37</v>
      </c>
      <c r="B832" t="s">
        <v>616</v>
      </c>
      <c r="C832" t="s">
        <v>483</v>
      </c>
      <c r="D832">
        <v>1.01</v>
      </c>
    </row>
    <row r="833" spans="1:4" x14ac:dyDescent="0.25">
      <c r="A833" t="s">
        <v>37</v>
      </c>
      <c r="B833" t="s">
        <v>616</v>
      </c>
      <c r="C833" t="s">
        <v>494</v>
      </c>
      <c r="D833">
        <v>1.01</v>
      </c>
    </row>
    <row r="834" spans="1:4" x14ac:dyDescent="0.25">
      <c r="A834" t="s">
        <v>37</v>
      </c>
      <c r="B834" t="s">
        <v>616</v>
      </c>
      <c r="C834" t="s">
        <v>486</v>
      </c>
      <c r="D834">
        <v>0.74</v>
      </c>
    </row>
    <row r="835" spans="1:4" x14ac:dyDescent="0.25">
      <c r="A835" t="s">
        <v>37</v>
      </c>
      <c r="B835" t="s">
        <v>616</v>
      </c>
      <c r="C835" t="s">
        <v>487</v>
      </c>
      <c r="D835">
        <v>0.77</v>
      </c>
    </row>
    <row r="836" spans="1:4" x14ac:dyDescent="0.25">
      <c r="A836" t="s">
        <v>37</v>
      </c>
      <c r="B836" t="s">
        <v>616</v>
      </c>
      <c r="C836" t="s">
        <v>493</v>
      </c>
      <c r="D836">
        <v>0.99</v>
      </c>
    </row>
    <row r="837" spans="1:4" x14ac:dyDescent="0.25">
      <c r="A837" t="s">
        <v>37</v>
      </c>
      <c r="B837" t="s">
        <v>616</v>
      </c>
      <c r="C837" t="s">
        <v>495</v>
      </c>
      <c r="D837">
        <v>0.4</v>
      </c>
    </row>
    <row r="838" spans="1:4" x14ac:dyDescent="0.25">
      <c r="A838" t="s">
        <v>37</v>
      </c>
      <c r="B838" t="s">
        <v>616</v>
      </c>
      <c r="C838" t="s">
        <v>496</v>
      </c>
      <c r="D838">
        <v>1.28</v>
      </c>
    </row>
    <row r="839" spans="1:4" x14ac:dyDescent="0.25">
      <c r="A839" t="s">
        <v>37</v>
      </c>
      <c r="B839" t="s">
        <v>616</v>
      </c>
      <c r="C839" t="s">
        <v>497</v>
      </c>
      <c r="D839">
        <v>1.28</v>
      </c>
    </row>
    <row r="840" spans="1:4" x14ac:dyDescent="0.25">
      <c r="A840" t="s">
        <v>37</v>
      </c>
      <c r="B840" t="s">
        <v>616</v>
      </c>
      <c r="C840" t="s">
        <v>498</v>
      </c>
      <c r="D840">
        <v>0.55000000000000004</v>
      </c>
    </row>
    <row r="841" spans="1:4" x14ac:dyDescent="0.25">
      <c r="A841" t="s">
        <v>37</v>
      </c>
      <c r="B841" t="s">
        <v>616</v>
      </c>
      <c r="C841" t="s">
        <v>499</v>
      </c>
      <c r="D841">
        <v>0.55000000000000004</v>
      </c>
    </row>
    <row r="842" spans="1:4" x14ac:dyDescent="0.25">
      <c r="A842" t="s">
        <v>37</v>
      </c>
      <c r="B842" t="s">
        <v>38</v>
      </c>
      <c r="C842" t="s">
        <v>479</v>
      </c>
      <c r="D842">
        <v>-18.43</v>
      </c>
    </row>
    <row r="843" spans="1:4" x14ac:dyDescent="0.25">
      <c r="A843" t="s">
        <v>37</v>
      </c>
      <c r="B843" t="s">
        <v>38</v>
      </c>
      <c r="C843" t="s">
        <v>481</v>
      </c>
      <c r="D843">
        <v>-20.95</v>
      </c>
    </row>
    <row r="844" spans="1:4" x14ac:dyDescent="0.25">
      <c r="A844" t="s">
        <v>37</v>
      </c>
      <c r="B844" t="s">
        <v>38</v>
      </c>
      <c r="C844" t="s">
        <v>491</v>
      </c>
      <c r="D844">
        <v>-24.81</v>
      </c>
    </row>
    <row r="845" spans="1:4" x14ac:dyDescent="0.25">
      <c r="A845" t="s">
        <v>37</v>
      </c>
      <c r="B845" t="s">
        <v>38</v>
      </c>
      <c r="C845" t="s">
        <v>492</v>
      </c>
      <c r="D845">
        <v>-26.97</v>
      </c>
    </row>
    <row r="846" spans="1:4" x14ac:dyDescent="0.25">
      <c r="A846" t="s">
        <v>37</v>
      </c>
      <c r="B846" t="s">
        <v>38</v>
      </c>
      <c r="C846" t="s">
        <v>483</v>
      </c>
      <c r="D846">
        <v>-28.79</v>
      </c>
    </row>
    <row r="847" spans="1:4" x14ac:dyDescent="0.25">
      <c r="A847" t="s">
        <v>37</v>
      </c>
      <c r="B847" t="s">
        <v>38</v>
      </c>
      <c r="C847" t="s">
        <v>494</v>
      </c>
      <c r="D847">
        <v>-40.5</v>
      </c>
    </row>
    <row r="848" spans="1:4" x14ac:dyDescent="0.25">
      <c r="A848" t="s">
        <v>37</v>
      </c>
      <c r="B848" t="s">
        <v>38</v>
      </c>
      <c r="C848" t="s">
        <v>486</v>
      </c>
      <c r="D848">
        <v>-34.869999999999997</v>
      </c>
    </row>
    <row r="849" spans="1:4" x14ac:dyDescent="0.25">
      <c r="A849" t="s">
        <v>37</v>
      </c>
      <c r="B849" t="s">
        <v>38</v>
      </c>
      <c r="C849" t="s">
        <v>487</v>
      </c>
      <c r="D849">
        <v>-36.35</v>
      </c>
    </row>
    <row r="850" spans="1:4" x14ac:dyDescent="0.25">
      <c r="A850" t="s">
        <v>37</v>
      </c>
      <c r="B850" t="s">
        <v>38</v>
      </c>
      <c r="C850" t="s">
        <v>493</v>
      </c>
      <c r="D850">
        <v>-36.97</v>
      </c>
    </row>
    <row r="851" spans="1:4" x14ac:dyDescent="0.25">
      <c r="A851" t="s">
        <v>37</v>
      </c>
      <c r="B851" t="s">
        <v>38</v>
      </c>
      <c r="C851" t="s">
        <v>495</v>
      </c>
      <c r="D851">
        <v>-39.93</v>
      </c>
    </row>
    <row r="852" spans="1:4" x14ac:dyDescent="0.25">
      <c r="A852" t="s">
        <v>37</v>
      </c>
      <c r="B852" t="s">
        <v>38</v>
      </c>
      <c r="C852" t="s">
        <v>496</v>
      </c>
      <c r="D852">
        <v>-32.049999999999997</v>
      </c>
    </row>
    <row r="853" spans="1:4" x14ac:dyDescent="0.25">
      <c r="A853" t="s">
        <v>37</v>
      </c>
      <c r="B853" t="s">
        <v>38</v>
      </c>
      <c r="C853" t="s">
        <v>497</v>
      </c>
      <c r="D853">
        <v>-42.81</v>
      </c>
    </row>
    <row r="854" spans="1:4" x14ac:dyDescent="0.25">
      <c r="A854" t="s">
        <v>37</v>
      </c>
      <c r="B854" t="s">
        <v>38</v>
      </c>
      <c r="C854" t="s">
        <v>498</v>
      </c>
      <c r="D854">
        <v>-44.65</v>
      </c>
    </row>
    <row r="855" spans="1:4" x14ac:dyDescent="0.25">
      <c r="A855" t="s">
        <v>37</v>
      </c>
      <c r="B855" t="s">
        <v>38</v>
      </c>
      <c r="C855" t="s">
        <v>499</v>
      </c>
      <c r="D855">
        <v>-47.79</v>
      </c>
    </row>
    <row r="856" spans="1:4" x14ac:dyDescent="0.25">
      <c r="A856" t="s">
        <v>39</v>
      </c>
      <c r="B856" t="s">
        <v>22</v>
      </c>
      <c r="C856" t="s">
        <v>479</v>
      </c>
      <c r="D856">
        <v>4.0000000000000001E-3</v>
      </c>
    </row>
    <row r="857" spans="1:4" x14ac:dyDescent="0.25">
      <c r="A857" t="s">
        <v>39</v>
      </c>
      <c r="B857" t="s">
        <v>22</v>
      </c>
      <c r="C857" t="s">
        <v>481</v>
      </c>
      <c r="D857">
        <v>4.0000000000000001E-3</v>
      </c>
    </row>
    <row r="858" spans="1:4" x14ac:dyDescent="0.25">
      <c r="A858" t="s">
        <v>39</v>
      </c>
      <c r="B858" t="s">
        <v>22</v>
      </c>
      <c r="C858" t="s">
        <v>491</v>
      </c>
      <c r="D858">
        <v>4.0000000000000001E-3</v>
      </c>
    </row>
    <row r="859" spans="1:4" x14ac:dyDescent="0.25">
      <c r="A859" t="s">
        <v>39</v>
      </c>
      <c r="B859" t="s">
        <v>22</v>
      </c>
      <c r="C859" t="s">
        <v>492</v>
      </c>
      <c r="D859">
        <v>4.0000000000000001E-3</v>
      </c>
    </row>
    <row r="860" spans="1:4" x14ac:dyDescent="0.25">
      <c r="A860" t="s">
        <v>39</v>
      </c>
      <c r="B860" t="s">
        <v>22</v>
      </c>
      <c r="C860" t="s">
        <v>483</v>
      </c>
      <c r="D860">
        <v>3.0000000000000001E-3</v>
      </c>
    </row>
    <row r="861" spans="1:4" x14ac:dyDescent="0.25">
      <c r="A861" t="s">
        <v>39</v>
      </c>
      <c r="B861" t="s">
        <v>22</v>
      </c>
      <c r="C861" t="s">
        <v>494</v>
      </c>
      <c r="D861">
        <v>2E-3</v>
      </c>
    </row>
    <row r="862" spans="1:4" x14ac:dyDescent="0.25">
      <c r="A862" t="s">
        <v>39</v>
      </c>
      <c r="B862" t="s">
        <v>22</v>
      </c>
      <c r="C862" t="s">
        <v>486</v>
      </c>
      <c r="D862">
        <v>3.0000000000000001E-3</v>
      </c>
    </row>
    <row r="863" spans="1:4" x14ac:dyDescent="0.25">
      <c r="A863" t="s">
        <v>39</v>
      </c>
      <c r="B863" t="s">
        <v>22</v>
      </c>
      <c r="C863" t="s">
        <v>487</v>
      </c>
      <c r="D863">
        <v>3.0000000000000001E-3</v>
      </c>
    </row>
    <row r="864" spans="1:4" x14ac:dyDescent="0.25">
      <c r="A864" t="s">
        <v>39</v>
      </c>
      <c r="B864" t="s">
        <v>22</v>
      </c>
      <c r="C864" t="s">
        <v>493</v>
      </c>
      <c r="D864">
        <v>4.0000000000000001E-3</v>
      </c>
    </row>
    <row r="865" spans="1:4" x14ac:dyDescent="0.25">
      <c r="A865" t="s">
        <v>39</v>
      </c>
      <c r="B865" t="s">
        <v>22</v>
      </c>
      <c r="C865" t="s">
        <v>495</v>
      </c>
      <c r="D865">
        <v>2E-3</v>
      </c>
    </row>
    <row r="866" spans="1:4" x14ac:dyDescent="0.25">
      <c r="A866" t="s">
        <v>39</v>
      </c>
      <c r="B866" t="s">
        <v>22</v>
      </c>
      <c r="C866" t="s">
        <v>496</v>
      </c>
      <c r="D866">
        <v>3.0000000000000001E-3</v>
      </c>
    </row>
    <row r="867" spans="1:4" x14ac:dyDescent="0.25">
      <c r="A867" t="s">
        <v>39</v>
      </c>
      <c r="B867" t="s">
        <v>22</v>
      </c>
      <c r="C867" t="s">
        <v>497</v>
      </c>
      <c r="D867">
        <v>3.0000000000000001E-3</v>
      </c>
    </row>
    <row r="868" spans="1:4" x14ac:dyDescent="0.25">
      <c r="A868" t="s">
        <v>39</v>
      </c>
      <c r="B868" t="s">
        <v>22</v>
      </c>
      <c r="C868" t="s">
        <v>498</v>
      </c>
      <c r="D868">
        <v>2E-3</v>
      </c>
    </row>
    <row r="869" spans="1:4" x14ac:dyDescent="0.25">
      <c r="A869" t="s">
        <v>39</v>
      </c>
      <c r="B869" t="s">
        <v>22</v>
      </c>
      <c r="C869" t="s">
        <v>499</v>
      </c>
      <c r="D869">
        <v>2E-3</v>
      </c>
    </row>
    <row r="870" spans="1:4" x14ac:dyDescent="0.25">
      <c r="A870" t="s">
        <v>39</v>
      </c>
      <c r="B870" t="s">
        <v>615</v>
      </c>
      <c r="C870" t="s">
        <v>479</v>
      </c>
      <c r="D870">
        <v>3.0000000000000001E-3</v>
      </c>
    </row>
    <row r="871" spans="1:4" x14ac:dyDescent="0.25">
      <c r="A871" t="s">
        <v>39</v>
      </c>
      <c r="B871" t="s">
        <v>615</v>
      </c>
      <c r="C871" t="s">
        <v>481</v>
      </c>
      <c r="D871">
        <v>1E-3</v>
      </c>
    </row>
    <row r="872" spans="1:4" x14ac:dyDescent="0.25">
      <c r="A872" t="s">
        <v>39</v>
      </c>
      <c r="B872" t="s">
        <v>615</v>
      </c>
      <c r="C872" t="s">
        <v>491</v>
      </c>
      <c r="D872">
        <v>1E-3</v>
      </c>
    </row>
    <row r="873" spans="1:4" x14ac:dyDescent="0.25">
      <c r="A873" t="s">
        <v>39</v>
      </c>
      <c r="B873" t="s">
        <v>615</v>
      </c>
      <c r="C873" t="s">
        <v>492</v>
      </c>
      <c r="D873">
        <v>2E-3</v>
      </c>
    </row>
    <row r="874" spans="1:4" x14ac:dyDescent="0.25">
      <c r="A874" t="s">
        <v>39</v>
      </c>
      <c r="B874" t="s">
        <v>615</v>
      </c>
      <c r="C874" t="s">
        <v>483</v>
      </c>
      <c r="D874">
        <v>2E-3</v>
      </c>
    </row>
    <row r="875" spans="1:4" x14ac:dyDescent="0.25">
      <c r="A875" t="s">
        <v>39</v>
      </c>
      <c r="B875" t="s">
        <v>615</v>
      </c>
      <c r="C875" t="s">
        <v>494</v>
      </c>
      <c r="D875">
        <v>4.0000000000000001E-3</v>
      </c>
    </row>
    <row r="876" spans="1:4" x14ac:dyDescent="0.25">
      <c r="A876" t="s">
        <v>39</v>
      </c>
      <c r="B876" t="s">
        <v>615</v>
      </c>
      <c r="C876" t="s">
        <v>486</v>
      </c>
      <c r="D876">
        <v>1E-3</v>
      </c>
    </row>
    <row r="877" spans="1:4" x14ac:dyDescent="0.25">
      <c r="A877" t="s">
        <v>39</v>
      </c>
      <c r="B877" t="s">
        <v>615</v>
      </c>
      <c r="C877" t="s">
        <v>487</v>
      </c>
      <c r="D877">
        <v>3.0000000000000001E-3</v>
      </c>
    </row>
    <row r="878" spans="1:4" x14ac:dyDescent="0.25">
      <c r="A878" t="s">
        <v>39</v>
      </c>
      <c r="B878" t="s">
        <v>615</v>
      </c>
      <c r="C878" t="s">
        <v>493</v>
      </c>
      <c r="D878">
        <v>4.0000000000000001E-3</v>
      </c>
    </row>
    <row r="879" spans="1:4" x14ac:dyDescent="0.25">
      <c r="A879" t="s">
        <v>39</v>
      </c>
      <c r="B879" t="s">
        <v>615</v>
      </c>
      <c r="C879" t="s">
        <v>495</v>
      </c>
      <c r="D879">
        <v>6.0000000000000001E-3</v>
      </c>
    </row>
    <row r="880" spans="1:4" x14ac:dyDescent="0.25">
      <c r="A880" t="s">
        <v>39</v>
      </c>
      <c r="B880" t="s">
        <v>615</v>
      </c>
      <c r="C880" t="s">
        <v>496</v>
      </c>
      <c r="D880">
        <v>3.0000000000000001E-3</v>
      </c>
    </row>
    <row r="881" spans="1:4" x14ac:dyDescent="0.25">
      <c r="A881" t="s">
        <v>39</v>
      </c>
      <c r="B881" t="s">
        <v>615</v>
      </c>
      <c r="C881" t="s">
        <v>497</v>
      </c>
      <c r="D881">
        <v>1E-3</v>
      </c>
    </row>
    <row r="882" spans="1:4" x14ac:dyDescent="0.25">
      <c r="A882" t="s">
        <v>39</v>
      </c>
      <c r="B882" t="s">
        <v>615</v>
      </c>
      <c r="C882" t="s">
        <v>498</v>
      </c>
      <c r="D882">
        <v>1E-3</v>
      </c>
    </row>
    <row r="883" spans="1:4" x14ac:dyDescent="0.25">
      <c r="A883" t="s">
        <v>39</v>
      </c>
      <c r="B883" t="s">
        <v>615</v>
      </c>
      <c r="C883" t="s">
        <v>499</v>
      </c>
      <c r="D883">
        <v>2E-3</v>
      </c>
    </row>
    <row r="884" spans="1:4" x14ac:dyDescent="0.25">
      <c r="A884" t="s">
        <v>39</v>
      </c>
      <c r="B884" t="s">
        <v>24</v>
      </c>
      <c r="C884" t="s">
        <v>479</v>
      </c>
      <c r="D884">
        <v>0.94499999999999995</v>
      </c>
    </row>
    <row r="885" spans="1:4" x14ac:dyDescent="0.25">
      <c r="A885" t="s">
        <v>39</v>
      </c>
      <c r="B885" t="s">
        <v>24</v>
      </c>
      <c r="C885" t="s">
        <v>481</v>
      </c>
      <c r="D885">
        <v>0.94499999999999995</v>
      </c>
    </row>
    <row r="886" spans="1:4" x14ac:dyDescent="0.25">
      <c r="A886" t="s">
        <v>39</v>
      </c>
      <c r="B886" t="s">
        <v>24</v>
      </c>
      <c r="C886" t="s">
        <v>491</v>
      </c>
      <c r="D886">
        <v>0.94499999999999995</v>
      </c>
    </row>
    <row r="887" spans="1:4" x14ac:dyDescent="0.25">
      <c r="A887" t="s">
        <v>39</v>
      </c>
      <c r="B887" t="s">
        <v>24</v>
      </c>
      <c r="C887" t="s">
        <v>492</v>
      </c>
      <c r="D887">
        <v>0.94499999999999995</v>
      </c>
    </row>
    <row r="888" spans="1:4" x14ac:dyDescent="0.25">
      <c r="A888" t="s">
        <v>39</v>
      </c>
      <c r="B888" t="s">
        <v>24</v>
      </c>
      <c r="C888" t="s">
        <v>483</v>
      </c>
      <c r="D888">
        <v>0.94499999999999995</v>
      </c>
    </row>
    <row r="889" spans="1:4" x14ac:dyDescent="0.25">
      <c r="A889" t="s">
        <v>39</v>
      </c>
      <c r="B889" t="s">
        <v>24</v>
      </c>
      <c r="C889" t="s">
        <v>494</v>
      </c>
      <c r="D889">
        <v>0.94499999999999995</v>
      </c>
    </row>
    <row r="890" spans="1:4" x14ac:dyDescent="0.25">
      <c r="A890" t="s">
        <v>39</v>
      </c>
      <c r="B890" t="s">
        <v>24</v>
      </c>
      <c r="C890" t="s">
        <v>486</v>
      </c>
      <c r="D890">
        <v>0.94499999999999995</v>
      </c>
    </row>
    <row r="891" spans="1:4" x14ac:dyDescent="0.25">
      <c r="A891" t="s">
        <v>39</v>
      </c>
      <c r="B891" t="s">
        <v>24</v>
      </c>
      <c r="C891" t="s">
        <v>487</v>
      </c>
      <c r="D891">
        <v>0.94499999999999995</v>
      </c>
    </row>
    <row r="892" spans="1:4" x14ac:dyDescent="0.25">
      <c r="A892" t="s">
        <v>39</v>
      </c>
      <c r="B892" t="s">
        <v>24</v>
      </c>
      <c r="C892" t="s">
        <v>493</v>
      </c>
      <c r="D892">
        <v>0.94499999999999995</v>
      </c>
    </row>
    <row r="893" spans="1:4" x14ac:dyDescent="0.25">
      <c r="A893" t="s">
        <v>39</v>
      </c>
      <c r="B893" t="s">
        <v>24</v>
      </c>
      <c r="C893" t="s">
        <v>495</v>
      </c>
      <c r="D893">
        <v>0.94499999999999995</v>
      </c>
    </row>
    <row r="894" spans="1:4" x14ac:dyDescent="0.25">
      <c r="A894" t="s">
        <v>39</v>
      </c>
      <c r="B894" t="s">
        <v>24</v>
      </c>
      <c r="C894" t="s">
        <v>496</v>
      </c>
      <c r="D894">
        <v>0.94499999999999995</v>
      </c>
    </row>
    <row r="895" spans="1:4" x14ac:dyDescent="0.25">
      <c r="A895" t="s">
        <v>39</v>
      </c>
      <c r="B895" t="s">
        <v>24</v>
      </c>
      <c r="C895" t="s">
        <v>497</v>
      </c>
      <c r="D895">
        <v>0.94499999999999995</v>
      </c>
    </row>
    <row r="896" spans="1:4" x14ac:dyDescent="0.25">
      <c r="A896" t="s">
        <v>39</v>
      </c>
      <c r="B896" t="s">
        <v>24</v>
      </c>
      <c r="C896" t="s">
        <v>498</v>
      </c>
      <c r="D896">
        <v>0.94499999999999995</v>
      </c>
    </row>
    <row r="897" spans="1:4" x14ac:dyDescent="0.25">
      <c r="A897" t="s">
        <v>39</v>
      </c>
      <c r="B897" t="s">
        <v>24</v>
      </c>
      <c r="C897" t="s">
        <v>499</v>
      </c>
      <c r="D897">
        <v>0.94499999999999995</v>
      </c>
    </row>
    <row r="898" spans="1:4" x14ac:dyDescent="0.25">
      <c r="A898" t="s">
        <v>39</v>
      </c>
      <c r="B898" t="s">
        <v>616</v>
      </c>
      <c r="C898" t="s">
        <v>479</v>
      </c>
      <c r="D898">
        <v>0.39</v>
      </c>
    </row>
    <row r="899" spans="1:4" x14ac:dyDescent="0.25">
      <c r="A899" t="s">
        <v>39</v>
      </c>
      <c r="B899" t="s">
        <v>616</v>
      </c>
      <c r="C899" t="s">
        <v>481</v>
      </c>
      <c r="D899">
        <v>0.49</v>
      </c>
    </row>
    <row r="900" spans="1:4" x14ac:dyDescent="0.25">
      <c r="A900" t="s">
        <v>39</v>
      </c>
      <c r="B900" t="s">
        <v>616</v>
      </c>
      <c r="C900" t="s">
        <v>491</v>
      </c>
      <c r="D900">
        <v>0.45</v>
      </c>
    </row>
    <row r="901" spans="1:4" x14ac:dyDescent="0.25">
      <c r="A901" t="s">
        <v>39</v>
      </c>
      <c r="B901" t="s">
        <v>616</v>
      </c>
      <c r="C901" t="s">
        <v>492</v>
      </c>
      <c r="D901">
        <v>0.52</v>
      </c>
    </row>
    <row r="902" spans="1:4" x14ac:dyDescent="0.25">
      <c r="A902" t="s">
        <v>39</v>
      </c>
      <c r="B902" t="s">
        <v>616</v>
      </c>
      <c r="C902" t="s">
        <v>483</v>
      </c>
      <c r="D902">
        <v>0.54</v>
      </c>
    </row>
    <row r="903" spans="1:4" x14ac:dyDescent="0.25">
      <c r="A903" t="s">
        <v>39</v>
      </c>
      <c r="B903" t="s">
        <v>616</v>
      </c>
      <c r="C903" t="s">
        <v>494</v>
      </c>
      <c r="D903">
        <v>0.53</v>
      </c>
    </row>
    <row r="904" spans="1:4" x14ac:dyDescent="0.25">
      <c r="A904" t="s">
        <v>39</v>
      </c>
      <c r="B904" t="s">
        <v>616</v>
      </c>
      <c r="C904" t="s">
        <v>486</v>
      </c>
      <c r="D904">
        <v>0.38</v>
      </c>
    </row>
    <row r="905" spans="1:4" x14ac:dyDescent="0.25">
      <c r="A905" t="s">
        <v>39</v>
      </c>
      <c r="B905" t="s">
        <v>616</v>
      </c>
      <c r="C905" t="s">
        <v>487</v>
      </c>
      <c r="D905">
        <v>0.46</v>
      </c>
    </row>
    <row r="906" spans="1:4" x14ac:dyDescent="0.25">
      <c r="A906" t="s">
        <v>39</v>
      </c>
      <c r="B906" t="s">
        <v>616</v>
      </c>
      <c r="C906" t="s">
        <v>493</v>
      </c>
      <c r="D906">
        <v>0.44</v>
      </c>
    </row>
    <row r="907" spans="1:4" x14ac:dyDescent="0.25">
      <c r="A907" t="s">
        <v>39</v>
      </c>
      <c r="B907" t="s">
        <v>616</v>
      </c>
      <c r="C907" t="s">
        <v>495</v>
      </c>
      <c r="D907">
        <v>0.22</v>
      </c>
    </row>
    <row r="908" spans="1:4" x14ac:dyDescent="0.25">
      <c r="A908" t="s">
        <v>39</v>
      </c>
      <c r="B908" t="s">
        <v>616</v>
      </c>
      <c r="C908" t="s">
        <v>496</v>
      </c>
      <c r="D908">
        <v>0.52</v>
      </c>
    </row>
    <row r="909" spans="1:4" x14ac:dyDescent="0.25">
      <c r="A909" t="s">
        <v>39</v>
      </c>
      <c r="B909" t="s">
        <v>616</v>
      </c>
      <c r="C909" t="s">
        <v>497</v>
      </c>
      <c r="D909">
        <v>0.52</v>
      </c>
    </row>
    <row r="910" spans="1:4" x14ac:dyDescent="0.25">
      <c r="A910" t="s">
        <v>39</v>
      </c>
      <c r="B910" t="s">
        <v>616</v>
      </c>
      <c r="C910" t="s">
        <v>498</v>
      </c>
      <c r="D910">
        <v>0.3</v>
      </c>
    </row>
    <row r="911" spans="1:4" x14ac:dyDescent="0.25">
      <c r="A911" t="s">
        <v>39</v>
      </c>
      <c r="B911" t="s">
        <v>616</v>
      </c>
      <c r="C911" t="s">
        <v>499</v>
      </c>
      <c r="D911">
        <v>0.3</v>
      </c>
    </row>
    <row r="912" spans="1:4" x14ac:dyDescent="0.25">
      <c r="A912" t="s">
        <v>40</v>
      </c>
      <c r="B912" t="s">
        <v>41</v>
      </c>
      <c r="C912" t="s">
        <v>494</v>
      </c>
      <c r="D912">
        <v>-0.5</v>
      </c>
    </row>
    <row r="913" spans="1:4" x14ac:dyDescent="0.25">
      <c r="A913" t="s">
        <v>40</v>
      </c>
      <c r="B913" t="s">
        <v>41</v>
      </c>
      <c r="C913" t="s">
        <v>486</v>
      </c>
      <c r="D913">
        <v>-0.5</v>
      </c>
    </row>
    <row r="914" spans="1:4" x14ac:dyDescent="0.25">
      <c r="A914" t="s">
        <v>40</v>
      </c>
      <c r="B914" t="s">
        <v>41</v>
      </c>
      <c r="C914" t="s">
        <v>487</v>
      </c>
      <c r="D914">
        <v>-0.5</v>
      </c>
    </row>
    <row r="915" spans="1:4" x14ac:dyDescent="0.25">
      <c r="A915" t="s">
        <v>40</v>
      </c>
      <c r="B915" t="s">
        <v>41</v>
      </c>
      <c r="C915" t="s">
        <v>493</v>
      </c>
      <c r="D915">
        <v>-0.5</v>
      </c>
    </row>
    <row r="916" spans="1:4" x14ac:dyDescent="0.25">
      <c r="A916" t="s">
        <v>40</v>
      </c>
      <c r="B916" t="s">
        <v>41</v>
      </c>
      <c r="C916" t="s">
        <v>495</v>
      </c>
      <c r="D916">
        <v>-0.5</v>
      </c>
    </row>
    <row r="917" spans="1:4" x14ac:dyDescent="0.25">
      <c r="A917" t="s">
        <v>40</v>
      </c>
      <c r="B917" t="s">
        <v>41</v>
      </c>
      <c r="C917" t="s">
        <v>496</v>
      </c>
      <c r="D917">
        <v>-0.5</v>
      </c>
    </row>
    <row r="918" spans="1:4" x14ac:dyDescent="0.25">
      <c r="A918" t="s">
        <v>40</v>
      </c>
      <c r="B918" t="s">
        <v>41</v>
      </c>
      <c r="C918" t="s">
        <v>497</v>
      </c>
      <c r="D918">
        <v>-0.5</v>
      </c>
    </row>
    <row r="919" spans="1:4" x14ac:dyDescent="0.25">
      <c r="A919" t="s">
        <v>40</v>
      </c>
      <c r="B919" t="s">
        <v>41</v>
      </c>
      <c r="C919" t="s">
        <v>498</v>
      </c>
      <c r="D919">
        <v>-0.5</v>
      </c>
    </row>
    <row r="920" spans="1:4" x14ac:dyDescent="0.25">
      <c r="A920" t="s">
        <v>40</v>
      </c>
      <c r="B920" t="s">
        <v>41</v>
      </c>
      <c r="C920" t="s">
        <v>499</v>
      </c>
      <c r="D920">
        <v>-0.5</v>
      </c>
    </row>
    <row r="921" spans="1:4" x14ac:dyDescent="0.25">
      <c r="A921" t="s">
        <v>40</v>
      </c>
      <c r="B921" t="s">
        <v>5</v>
      </c>
      <c r="C921" t="s">
        <v>494</v>
      </c>
      <c r="D921">
        <v>0.998</v>
      </c>
    </row>
    <row r="922" spans="1:4" x14ac:dyDescent="0.25">
      <c r="A922" t="s">
        <v>40</v>
      </c>
      <c r="B922" t="s">
        <v>5</v>
      </c>
      <c r="C922" t="s">
        <v>486</v>
      </c>
      <c r="D922">
        <v>1.0309999999999999</v>
      </c>
    </row>
    <row r="923" spans="1:4" x14ac:dyDescent="0.25">
      <c r="A923" t="s">
        <v>40</v>
      </c>
      <c r="B923" t="s">
        <v>5</v>
      </c>
      <c r="C923" t="s">
        <v>487</v>
      </c>
      <c r="D923">
        <v>1</v>
      </c>
    </row>
    <row r="924" spans="1:4" x14ac:dyDescent="0.25">
      <c r="A924" t="s">
        <v>40</v>
      </c>
      <c r="B924" t="s">
        <v>5</v>
      </c>
      <c r="C924" t="s">
        <v>493</v>
      </c>
      <c r="D924">
        <v>1.026</v>
      </c>
    </row>
    <row r="925" spans="1:4" x14ac:dyDescent="0.25">
      <c r="A925" t="s">
        <v>40</v>
      </c>
      <c r="B925" t="s">
        <v>5</v>
      </c>
      <c r="C925" t="s">
        <v>495</v>
      </c>
      <c r="D925">
        <v>1.006</v>
      </c>
    </row>
    <row r="926" spans="1:4" x14ac:dyDescent="0.25">
      <c r="A926" t="s">
        <v>40</v>
      </c>
      <c r="B926" t="s">
        <v>5</v>
      </c>
      <c r="C926" t="s">
        <v>496</v>
      </c>
      <c r="D926">
        <v>0.94599999999999995</v>
      </c>
    </row>
    <row r="927" spans="1:4" x14ac:dyDescent="0.25">
      <c r="A927" t="s">
        <v>40</v>
      </c>
      <c r="B927" t="s">
        <v>5</v>
      </c>
      <c r="C927" t="s">
        <v>497</v>
      </c>
      <c r="D927">
        <v>1</v>
      </c>
    </row>
    <row r="928" spans="1:4" x14ac:dyDescent="0.25">
      <c r="A928" t="s">
        <v>40</v>
      </c>
      <c r="B928" t="s">
        <v>5</v>
      </c>
      <c r="C928" t="s">
        <v>498</v>
      </c>
      <c r="D928">
        <v>1.034</v>
      </c>
    </row>
    <row r="929" spans="1:4" x14ac:dyDescent="0.25">
      <c r="A929" t="s">
        <v>40</v>
      </c>
      <c r="B929" t="s">
        <v>5</v>
      </c>
      <c r="C929" t="s">
        <v>499</v>
      </c>
      <c r="D929">
        <v>0.97499999999999998</v>
      </c>
    </row>
    <row r="930" spans="1:4" x14ac:dyDescent="0.25">
      <c r="A930" t="s">
        <v>40</v>
      </c>
      <c r="B930" t="s">
        <v>22</v>
      </c>
      <c r="C930" t="s">
        <v>494</v>
      </c>
      <c r="D930">
        <v>6.0000000000000001E-3</v>
      </c>
    </row>
    <row r="931" spans="1:4" x14ac:dyDescent="0.25">
      <c r="A931" t="s">
        <v>40</v>
      </c>
      <c r="B931" t="s">
        <v>22</v>
      </c>
      <c r="C931" t="s">
        <v>486</v>
      </c>
      <c r="D931">
        <v>7.0000000000000001E-3</v>
      </c>
    </row>
    <row r="932" spans="1:4" x14ac:dyDescent="0.25">
      <c r="A932" t="s">
        <v>40</v>
      </c>
      <c r="B932" t="s">
        <v>22</v>
      </c>
      <c r="C932" t="s">
        <v>487</v>
      </c>
      <c r="D932">
        <v>6.0000000000000001E-3</v>
      </c>
    </row>
    <row r="933" spans="1:4" x14ac:dyDescent="0.25">
      <c r="A933" t="s">
        <v>40</v>
      </c>
      <c r="B933" t="s">
        <v>22</v>
      </c>
      <c r="C933" t="s">
        <v>493</v>
      </c>
      <c r="D933">
        <v>8.0000000000000002E-3</v>
      </c>
    </row>
    <row r="934" spans="1:4" x14ac:dyDescent="0.25">
      <c r="A934" t="s">
        <v>40</v>
      </c>
      <c r="B934" t="s">
        <v>22</v>
      </c>
      <c r="C934" t="s">
        <v>495</v>
      </c>
      <c r="D934">
        <v>6.0000000000000001E-3</v>
      </c>
    </row>
    <row r="935" spans="1:4" x14ac:dyDescent="0.25">
      <c r="A935" t="s">
        <v>40</v>
      </c>
      <c r="B935" t="s">
        <v>22</v>
      </c>
      <c r="C935" t="s">
        <v>496</v>
      </c>
      <c r="D935">
        <v>5.0000000000000001E-3</v>
      </c>
    </row>
    <row r="936" spans="1:4" x14ac:dyDescent="0.25">
      <c r="A936" t="s">
        <v>40</v>
      </c>
      <c r="B936" t="s">
        <v>22</v>
      </c>
      <c r="C936" t="s">
        <v>497</v>
      </c>
      <c r="D936">
        <v>5.0000000000000001E-3</v>
      </c>
    </row>
    <row r="937" spans="1:4" x14ac:dyDescent="0.25">
      <c r="A937" t="s">
        <v>40</v>
      </c>
      <c r="B937" t="s">
        <v>22</v>
      </c>
      <c r="C937" t="s">
        <v>498</v>
      </c>
      <c r="D937">
        <v>5.0000000000000001E-3</v>
      </c>
    </row>
    <row r="938" spans="1:4" x14ac:dyDescent="0.25">
      <c r="A938" t="s">
        <v>40</v>
      </c>
      <c r="B938" t="s">
        <v>22</v>
      </c>
      <c r="C938" t="s">
        <v>499</v>
      </c>
      <c r="D938">
        <v>5.0000000000000001E-3</v>
      </c>
    </row>
    <row r="939" spans="1:4" x14ac:dyDescent="0.25">
      <c r="A939" t="s">
        <v>40</v>
      </c>
      <c r="B939" t="s">
        <v>23</v>
      </c>
      <c r="C939" t="s">
        <v>494</v>
      </c>
      <c r="D939">
        <v>0.11600000000000001</v>
      </c>
    </row>
    <row r="940" spans="1:4" x14ac:dyDescent="0.25">
      <c r="A940" t="s">
        <v>40</v>
      </c>
      <c r="B940" t="s">
        <v>23</v>
      </c>
      <c r="C940" t="s">
        <v>486</v>
      </c>
      <c r="D940">
        <v>0.11799999999999999</v>
      </c>
    </row>
    <row r="941" spans="1:4" x14ac:dyDescent="0.25">
      <c r="A941" t="s">
        <v>40</v>
      </c>
      <c r="B941" t="s">
        <v>23</v>
      </c>
      <c r="C941" t="s">
        <v>487</v>
      </c>
      <c r="D941">
        <v>0.11799999999999999</v>
      </c>
    </row>
    <row r="942" spans="1:4" x14ac:dyDescent="0.25">
      <c r="A942" t="s">
        <v>40</v>
      </c>
      <c r="B942" t="s">
        <v>23</v>
      </c>
      <c r="C942" t="s">
        <v>493</v>
      </c>
      <c r="D942">
        <v>0.11799999999999999</v>
      </c>
    </row>
    <row r="943" spans="1:4" x14ac:dyDescent="0.25">
      <c r="A943" t="s">
        <v>40</v>
      </c>
      <c r="B943" t="s">
        <v>23</v>
      </c>
      <c r="C943" t="s">
        <v>495</v>
      </c>
      <c r="D943">
        <v>0.11600000000000001</v>
      </c>
    </row>
    <row r="944" spans="1:4" x14ac:dyDescent="0.25">
      <c r="A944" t="s">
        <v>40</v>
      </c>
      <c r="B944" t="s">
        <v>23</v>
      </c>
      <c r="C944" t="s">
        <v>496</v>
      </c>
      <c r="D944">
        <v>0.12</v>
      </c>
    </row>
    <row r="945" spans="1:4" x14ac:dyDescent="0.25">
      <c r="A945" t="s">
        <v>40</v>
      </c>
      <c r="B945" t="s">
        <v>23</v>
      </c>
      <c r="C945" t="s">
        <v>497</v>
      </c>
      <c r="D945">
        <v>0.11799999999999999</v>
      </c>
    </row>
    <row r="946" spans="1:4" x14ac:dyDescent="0.25">
      <c r="A946" t="s">
        <v>40</v>
      </c>
      <c r="B946" t="s">
        <v>23</v>
      </c>
      <c r="C946" t="s">
        <v>498</v>
      </c>
      <c r="D946">
        <v>0.125</v>
      </c>
    </row>
    <row r="947" spans="1:4" x14ac:dyDescent="0.25">
      <c r="A947" t="s">
        <v>40</v>
      </c>
      <c r="B947" t="s">
        <v>23</v>
      </c>
      <c r="C947" t="s">
        <v>499</v>
      </c>
      <c r="D947">
        <v>0.11799999999999999</v>
      </c>
    </row>
    <row r="948" spans="1:4" x14ac:dyDescent="0.25">
      <c r="A948" t="s">
        <v>40</v>
      </c>
      <c r="B948" t="s">
        <v>615</v>
      </c>
      <c r="C948" t="s">
        <v>479</v>
      </c>
      <c r="D948">
        <v>2.5000000000000001E-2</v>
      </c>
    </row>
    <row r="949" spans="1:4" x14ac:dyDescent="0.25">
      <c r="A949" t="s">
        <v>40</v>
      </c>
      <c r="B949" t="s">
        <v>615</v>
      </c>
      <c r="C949" t="s">
        <v>481</v>
      </c>
      <c r="D949">
        <v>2.5999999999999999E-2</v>
      </c>
    </row>
    <row r="950" spans="1:4" x14ac:dyDescent="0.25">
      <c r="A950" t="s">
        <v>40</v>
      </c>
      <c r="B950" t="s">
        <v>615</v>
      </c>
      <c r="C950" t="s">
        <v>491</v>
      </c>
      <c r="D950">
        <v>2.3E-2</v>
      </c>
    </row>
    <row r="951" spans="1:4" x14ac:dyDescent="0.25">
      <c r="A951" t="s">
        <v>40</v>
      </c>
      <c r="B951" t="s">
        <v>615</v>
      </c>
      <c r="C951" t="s">
        <v>492</v>
      </c>
      <c r="D951">
        <v>2.5999999999999999E-2</v>
      </c>
    </row>
    <row r="952" spans="1:4" x14ac:dyDescent="0.25">
      <c r="A952" t="s">
        <v>40</v>
      </c>
      <c r="B952" t="s">
        <v>615</v>
      </c>
      <c r="C952" t="s">
        <v>483</v>
      </c>
      <c r="D952">
        <v>2.7E-2</v>
      </c>
    </row>
    <row r="953" spans="1:4" x14ac:dyDescent="0.25">
      <c r="A953" t="s">
        <v>40</v>
      </c>
      <c r="B953" t="s">
        <v>615</v>
      </c>
      <c r="C953" t="s">
        <v>494</v>
      </c>
      <c r="D953">
        <v>2.7E-2</v>
      </c>
    </row>
    <row r="954" spans="1:4" x14ac:dyDescent="0.25">
      <c r="A954" t="s">
        <v>40</v>
      </c>
      <c r="B954" t="s">
        <v>615</v>
      </c>
      <c r="C954" t="s">
        <v>486</v>
      </c>
      <c r="D954">
        <v>0.03</v>
      </c>
    </row>
    <row r="955" spans="1:4" x14ac:dyDescent="0.25">
      <c r="A955" t="s">
        <v>40</v>
      </c>
      <c r="B955" t="s">
        <v>615</v>
      </c>
      <c r="C955" t="s">
        <v>487</v>
      </c>
      <c r="D955">
        <v>1.4E-2</v>
      </c>
    </row>
    <row r="956" spans="1:4" x14ac:dyDescent="0.25">
      <c r="A956" t="s">
        <v>40</v>
      </c>
      <c r="B956" t="s">
        <v>615</v>
      </c>
      <c r="C956" t="s">
        <v>493</v>
      </c>
      <c r="D956">
        <v>3.1E-2</v>
      </c>
    </row>
    <row r="957" spans="1:4" x14ac:dyDescent="0.25">
      <c r="A957" t="s">
        <v>40</v>
      </c>
      <c r="B957" t="s">
        <v>615</v>
      </c>
      <c r="C957" t="s">
        <v>495</v>
      </c>
      <c r="D957">
        <v>2.3E-2</v>
      </c>
    </row>
    <row r="958" spans="1:4" x14ac:dyDescent="0.25">
      <c r="A958" t="s">
        <v>40</v>
      </c>
      <c r="B958" t="s">
        <v>615</v>
      </c>
      <c r="C958" t="s">
        <v>496</v>
      </c>
      <c r="D958">
        <v>2.5000000000000001E-2</v>
      </c>
    </row>
    <row r="959" spans="1:4" x14ac:dyDescent="0.25">
      <c r="A959" t="s">
        <v>40</v>
      </c>
      <c r="B959" t="s">
        <v>615</v>
      </c>
      <c r="C959" t="s">
        <v>497</v>
      </c>
      <c r="D959">
        <v>2.5000000000000001E-2</v>
      </c>
    </row>
    <row r="960" spans="1:4" x14ac:dyDescent="0.25">
      <c r="A960" t="s">
        <v>40</v>
      </c>
      <c r="B960" t="s">
        <v>615</v>
      </c>
      <c r="C960" t="s">
        <v>498</v>
      </c>
      <c r="D960">
        <v>5.6000000000000001E-2</v>
      </c>
    </row>
    <row r="961" spans="1:4" x14ac:dyDescent="0.25">
      <c r="A961" t="s">
        <v>40</v>
      </c>
      <c r="B961" t="s">
        <v>615</v>
      </c>
      <c r="C961" t="s">
        <v>499</v>
      </c>
      <c r="D961">
        <v>5.6000000000000001E-2</v>
      </c>
    </row>
    <row r="962" spans="1:4" x14ac:dyDescent="0.25">
      <c r="A962" t="s">
        <v>40</v>
      </c>
      <c r="B962" t="s">
        <v>42</v>
      </c>
      <c r="C962" t="s">
        <v>494</v>
      </c>
      <c r="D962">
        <v>-2.2999999999999998</v>
      </c>
    </row>
    <row r="963" spans="1:4" x14ac:dyDescent="0.25">
      <c r="A963" t="s">
        <v>40</v>
      </c>
      <c r="B963" t="s">
        <v>42</v>
      </c>
      <c r="C963" t="s">
        <v>486</v>
      </c>
      <c r="D963">
        <v>-2.395</v>
      </c>
    </row>
    <row r="964" spans="1:4" x14ac:dyDescent="0.25">
      <c r="A964" t="s">
        <v>40</v>
      </c>
      <c r="B964" t="s">
        <v>42</v>
      </c>
      <c r="C964" t="s">
        <v>487</v>
      </c>
      <c r="D964">
        <v>-2.4119999999999999</v>
      </c>
    </row>
    <row r="965" spans="1:4" x14ac:dyDescent="0.25">
      <c r="A965" t="s">
        <v>40</v>
      </c>
      <c r="B965" t="s">
        <v>42</v>
      </c>
      <c r="C965" t="s">
        <v>493</v>
      </c>
      <c r="D965">
        <v>-2.4279999999999999</v>
      </c>
    </row>
    <row r="966" spans="1:4" x14ac:dyDescent="0.25">
      <c r="A966" t="s">
        <v>40</v>
      </c>
      <c r="B966" t="s">
        <v>42</v>
      </c>
      <c r="C966" t="s">
        <v>495</v>
      </c>
      <c r="D966">
        <v>-2.3130000000000002</v>
      </c>
    </row>
    <row r="967" spans="1:4" x14ac:dyDescent="0.25">
      <c r="A967" t="s">
        <v>40</v>
      </c>
      <c r="B967" t="s">
        <v>42</v>
      </c>
      <c r="C967" t="s">
        <v>496</v>
      </c>
      <c r="D967">
        <v>-2.5350000000000001</v>
      </c>
    </row>
    <row r="968" spans="1:4" x14ac:dyDescent="0.25">
      <c r="A968" t="s">
        <v>40</v>
      </c>
      <c r="B968" t="s">
        <v>42</v>
      </c>
      <c r="C968" t="s">
        <v>497</v>
      </c>
      <c r="D968">
        <v>-2.3969999999999998</v>
      </c>
    </row>
    <row r="969" spans="1:4" x14ac:dyDescent="0.25">
      <c r="A969" t="s">
        <v>40</v>
      </c>
      <c r="B969" t="s">
        <v>42</v>
      </c>
      <c r="C969" t="s">
        <v>498</v>
      </c>
      <c r="D969">
        <v>-2.629</v>
      </c>
    </row>
    <row r="970" spans="1:4" x14ac:dyDescent="0.25">
      <c r="A970" t="s">
        <v>40</v>
      </c>
      <c r="B970" t="s">
        <v>42</v>
      </c>
      <c r="C970" t="s">
        <v>499</v>
      </c>
      <c r="D970">
        <v>-2.3410000000000002</v>
      </c>
    </row>
    <row r="971" spans="1:4" x14ac:dyDescent="0.25">
      <c r="A971" t="s">
        <v>40</v>
      </c>
      <c r="B971" t="s">
        <v>24</v>
      </c>
      <c r="C971" t="s">
        <v>494</v>
      </c>
      <c r="D971">
        <v>0.68600000000000005</v>
      </c>
    </row>
    <row r="972" spans="1:4" x14ac:dyDescent="0.25">
      <c r="A972" t="s">
        <v>40</v>
      </c>
      <c r="B972" t="s">
        <v>24</v>
      </c>
      <c r="C972" t="s">
        <v>486</v>
      </c>
      <c r="D972">
        <v>0.69099999999999995</v>
      </c>
    </row>
    <row r="973" spans="1:4" x14ac:dyDescent="0.25">
      <c r="A973" t="s">
        <v>40</v>
      </c>
      <c r="B973" t="s">
        <v>24</v>
      </c>
      <c r="C973" t="s">
        <v>487</v>
      </c>
      <c r="D973">
        <v>0.69199999999999995</v>
      </c>
    </row>
    <row r="974" spans="1:4" x14ac:dyDescent="0.25">
      <c r="A974" t="s">
        <v>40</v>
      </c>
      <c r="B974" t="s">
        <v>24</v>
      </c>
      <c r="C974" t="s">
        <v>493</v>
      </c>
      <c r="D974">
        <v>0.69299999999999995</v>
      </c>
    </row>
    <row r="975" spans="1:4" x14ac:dyDescent="0.25">
      <c r="A975" t="s">
        <v>40</v>
      </c>
      <c r="B975" t="s">
        <v>24</v>
      </c>
      <c r="C975" t="s">
        <v>495</v>
      </c>
      <c r="D975">
        <v>0.68700000000000006</v>
      </c>
    </row>
    <row r="976" spans="1:4" x14ac:dyDescent="0.25">
      <c r="A976" t="s">
        <v>40</v>
      </c>
      <c r="B976" t="s">
        <v>24</v>
      </c>
      <c r="C976" t="s">
        <v>496</v>
      </c>
      <c r="D976">
        <v>0.69899999999999995</v>
      </c>
    </row>
    <row r="977" spans="1:4" x14ac:dyDescent="0.25">
      <c r="A977" t="s">
        <v>40</v>
      </c>
      <c r="B977" t="s">
        <v>24</v>
      </c>
      <c r="C977" t="s">
        <v>497</v>
      </c>
      <c r="D977">
        <v>0.69099999999999995</v>
      </c>
    </row>
    <row r="978" spans="1:4" x14ac:dyDescent="0.25">
      <c r="A978" t="s">
        <v>40</v>
      </c>
      <c r="B978" t="s">
        <v>24</v>
      </c>
      <c r="C978" t="s">
        <v>498</v>
      </c>
      <c r="D978">
        <v>0.70399999999999996</v>
      </c>
    </row>
    <row r="979" spans="1:4" x14ac:dyDescent="0.25">
      <c r="A979" t="s">
        <v>40</v>
      </c>
      <c r="B979" t="s">
        <v>24</v>
      </c>
      <c r="C979" t="s">
        <v>499</v>
      </c>
      <c r="D979">
        <v>0.68799999999999994</v>
      </c>
    </row>
    <row r="980" spans="1:4" x14ac:dyDescent="0.25">
      <c r="A980" t="s">
        <v>40</v>
      </c>
      <c r="B980" t="s">
        <v>25</v>
      </c>
      <c r="C980" t="s">
        <v>494</v>
      </c>
      <c r="D980">
        <v>0.188</v>
      </c>
    </row>
    <row r="981" spans="1:4" x14ac:dyDescent="0.25">
      <c r="A981" t="s">
        <v>40</v>
      </c>
      <c r="B981" t="s">
        <v>25</v>
      </c>
      <c r="C981" t="s">
        <v>486</v>
      </c>
      <c r="D981">
        <v>0.22600000000000001</v>
      </c>
    </row>
    <row r="982" spans="1:4" x14ac:dyDescent="0.25">
      <c r="A982" t="s">
        <v>40</v>
      </c>
      <c r="B982" t="s">
        <v>25</v>
      </c>
      <c r="C982" t="s">
        <v>487</v>
      </c>
      <c r="D982">
        <v>0.16400000000000001</v>
      </c>
    </row>
    <row r="983" spans="1:4" x14ac:dyDescent="0.25">
      <c r="A983" t="s">
        <v>40</v>
      </c>
      <c r="B983" t="s">
        <v>25</v>
      </c>
      <c r="C983" t="s">
        <v>493</v>
      </c>
      <c r="D983">
        <v>0.105</v>
      </c>
    </row>
    <row r="984" spans="1:4" x14ac:dyDescent="0.25">
      <c r="A984" t="s">
        <v>40</v>
      </c>
      <c r="B984" t="s">
        <v>25</v>
      </c>
      <c r="C984" t="s">
        <v>495</v>
      </c>
      <c r="D984">
        <v>0.312</v>
      </c>
    </row>
    <row r="985" spans="1:4" x14ac:dyDescent="0.25">
      <c r="A985" t="s">
        <v>40</v>
      </c>
      <c r="B985" t="s">
        <v>25</v>
      </c>
      <c r="C985" t="s">
        <v>497</v>
      </c>
      <c r="D985">
        <v>0.188</v>
      </c>
    </row>
    <row r="986" spans="1:4" x14ac:dyDescent="0.25">
      <c r="A986" t="s">
        <v>40</v>
      </c>
      <c r="B986" t="s">
        <v>25</v>
      </c>
      <c r="C986" t="s">
        <v>498</v>
      </c>
      <c r="D986">
        <v>0.312</v>
      </c>
    </row>
    <row r="987" spans="1:4" x14ac:dyDescent="0.25">
      <c r="A987" t="s">
        <v>40</v>
      </c>
      <c r="B987" t="s">
        <v>25</v>
      </c>
      <c r="C987" t="s">
        <v>499</v>
      </c>
      <c r="D987">
        <v>0.315</v>
      </c>
    </row>
    <row r="988" spans="1:4" x14ac:dyDescent="0.25">
      <c r="A988" t="s">
        <v>40</v>
      </c>
      <c r="B988" t="s">
        <v>616</v>
      </c>
      <c r="C988" t="s">
        <v>479</v>
      </c>
      <c r="D988">
        <v>0.86</v>
      </c>
    </row>
    <row r="989" spans="1:4" x14ac:dyDescent="0.25">
      <c r="A989" t="s">
        <v>40</v>
      </c>
      <c r="B989" t="s">
        <v>616</v>
      </c>
      <c r="C989" t="s">
        <v>481</v>
      </c>
      <c r="D989">
        <v>0.88</v>
      </c>
    </row>
    <row r="990" spans="1:4" x14ac:dyDescent="0.25">
      <c r="A990" t="s">
        <v>40</v>
      </c>
      <c r="B990" t="s">
        <v>616</v>
      </c>
      <c r="C990" t="s">
        <v>491</v>
      </c>
      <c r="D990">
        <v>1.1000000000000001</v>
      </c>
    </row>
    <row r="991" spans="1:4" x14ac:dyDescent="0.25">
      <c r="A991" t="s">
        <v>40</v>
      </c>
      <c r="B991" t="s">
        <v>616</v>
      </c>
      <c r="C991" t="s">
        <v>492</v>
      </c>
      <c r="D991">
        <v>1.1000000000000001</v>
      </c>
    </row>
    <row r="992" spans="1:4" x14ac:dyDescent="0.25">
      <c r="A992" t="s">
        <v>40</v>
      </c>
      <c r="B992" t="s">
        <v>616</v>
      </c>
      <c r="C992" t="s">
        <v>483</v>
      </c>
      <c r="D992">
        <v>0.96</v>
      </c>
    </row>
    <row r="993" spans="1:4" x14ac:dyDescent="0.25">
      <c r="A993" t="s">
        <v>40</v>
      </c>
      <c r="B993" t="s">
        <v>616</v>
      </c>
      <c r="C993" t="s">
        <v>494</v>
      </c>
      <c r="D993">
        <v>0.86</v>
      </c>
    </row>
    <row r="994" spans="1:4" x14ac:dyDescent="0.25">
      <c r="A994" t="s">
        <v>40</v>
      </c>
      <c r="B994" t="s">
        <v>616</v>
      </c>
      <c r="C994" t="s">
        <v>486</v>
      </c>
      <c r="D994">
        <v>0.56999999999999995</v>
      </c>
    </row>
    <row r="995" spans="1:4" x14ac:dyDescent="0.25">
      <c r="A995" t="s">
        <v>40</v>
      </c>
      <c r="B995" t="s">
        <v>616</v>
      </c>
      <c r="C995" t="s">
        <v>487</v>
      </c>
      <c r="D995">
        <v>0.61</v>
      </c>
    </row>
    <row r="996" spans="1:4" x14ac:dyDescent="0.25">
      <c r="A996" t="s">
        <v>40</v>
      </c>
      <c r="B996" t="s">
        <v>616</v>
      </c>
      <c r="C996" t="s">
        <v>493</v>
      </c>
      <c r="D996">
        <v>0.67</v>
      </c>
    </row>
    <row r="997" spans="1:4" x14ac:dyDescent="0.25">
      <c r="A997" t="s">
        <v>40</v>
      </c>
      <c r="B997" t="s">
        <v>616</v>
      </c>
      <c r="C997" t="s">
        <v>495</v>
      </c>
      <c r="D997">
        <v>0.2</v>
      </c>
    </row>
    <row r="998" spans="1:4" x14ac:dyDescent="0.25">
      <c r="A998" t="s">
        <v>40</v>
      </c>
      <c r="B998" t="s">
        <v>616</v>
      </c>
      <c r="C998" t="s">
        <v>496</v>
      </c>
      <c r="D998">
        <v>0.71</v>
      </c>
    </row>
    <row r="999" spans="1:4" x14ac:dyDescent="0.25">
      <c r="A999" t="s">
        <v>40</v>
      </c>
      <c r="B999" t="s">
        <v>616</v>
      </c>
      <c r="C999" t="s">
        <v>497</v>
      </c>
      <c r="D999">
        <v>0.71</v>
      </c>
    </row>
    <row r="1000" spans="1:4" x14ac:dyDescent="0.25">
      <c r="A1000" t="s">
        <v>40</v>
      </c>
      <c r="B1000" t="s">
        <v>616</v>
      </c>
      <c r="C1000" t="s">
        <v>498</v>
      </c>
      <c r="D1000">
        <v>0.36</v>
      </c>
    </row>
    <row r="1001" spans="1:4" x14ac:dyDescent="0.25">
      <c r="A1001" t="s">
        <v>40</v>
      </c>
      <c r="B1001" t="s">
        <v>616</v>
      </c>
      <c r="C1001" t="s">
        <v>499</v>
      </c>
      <c r="D1001">
        <v>0.36</v>
      </c>
    </row>
    <row r="1002" spans="1:4" x14ac:dyDescent="0.25">
      <c r="A1002" t="s">
        <v>43</v>
      </c>
      <c r="B1002" t="s">
        <v>5</v>
      </c>
      <c r="C1002" t="s">
        <v>495</v>
      </c>
      <c r="D1002">
        <v>3.61</v>
      </c>
    </row>
    <row r="1003" spans="1:4" x14ac:dyDescent="0.25">
      <c r="A1003" t="s">
        <v>43</v>
      </c>
      <c r="B1003" t="s">
        <v>5</v>
      </c>
      <c r="C1003" t="s">
        <v>498</v>
      </c>
      <c r="D1003">
        <v>3.8919999999999999</v>
      </c>
    </row>
    <row r="1004" spans="1:4" x14ac:dyDescent="0.25">
      <c r="A1004" t="s">
        <v>43</v>
      </c>
      <c r="B1004" t="s">
        <v>5</v>
      </c>
      <c r="C1004" t="s">
        <v>499</v>
      </c>
      <c r="D1004">
        <v>4.0999999999999996</v>
      </c>
    </row>
    <row r="1005" spans="1:4" x14ac:dyDescent="0.25">
      <c r="A1005" t="s">
        <v>43</v>
      </c>
      <c r="B1005" t="s">
        <v>22</v>
      </c>
      <c r="C1005" t="s">
        <v>495</v>
      </c>
      <c r="D1005">
        <v>1.2999999999999999E-2</v>
      </c>
    </row>
    <row r="1006" spans="1:4" x14ac:dyDescent="0.25">
      <c r="A1006" t="s">
        <v>43</v>
      </c>
      <c r="B1006" t="s">
        <v>22</v>
      </c>
      <c r="C1006" t="s">
        <v>498</v>
      </c>
      <c r="D1006">
        <v>1.2999999999999999E-2</v>
      </c>
    </row>
    <row r="1007" spans="1:4" x14ac:dyDescent="0.25">
      <c r="A1007" t="s">
        <v>43</v>
      </c>
      <c r="B1007" t="s">
        <v>22</v>
      </c>
      <c r="C1007" t="s">
        <v>499</v>
      </c>
      <c r="D1007">
        <v>1.2999999999999999E-2</v>
      </c>
    </row>
    <row r="1008" spans="1:4" x14ac:dyDescent="0.25">
      <c r="A1008" t="s">
        <v>43</v>
      </c>
      <c r="B1008" t="s">
        <v>23</v>
      </c>
      <c r="C1008" t="s">
        <v>495</v>
      </c>
      <c r="D1008">
        <v>0.11</v>
      </c>
    </row>
    <row r="1009" spans="1:4" x14ac:dyDescent="0.25">
      <c r="A1009" t="s">
        <v>43</v>
      </c>
      <c r="B1009" t="s">
        <v>23</v>
      </c>
      <c r="C1009" t="s">
        <v>498</v>
      </c>
      <c r="D1009">
        <v>0.11</v>
      </c>
    </row>
    <row r="1010" spans="1:4" x14ac:dyDescent="0.25">
      <c r="A1010" t="s">
        <v>43</v>
      </c>
      <c r="B1010" t="s">
        <v>23</v>
      </c>
      <c r="C1010" t="s">
        <v>499</v>
      </c>
      <c r="D1010">
        <v>0.11</v>
      </c>
    </row>
    <row r="1011" spans="1:4" x14ac:dyDescent="0.25">
      <c r="A1011" t="s">
        <v>43</v>
      </c>
      <c r="B1011" t="s">
        <v>615</v>
      </c>
      <c r="C1011" t="s">
        <v>486</v>
      </c>
      <c r="D1011">
        <v>0.03</v>
      </c>
    </row>
    <row r="1012" spans="1:4" x14ac:dyDescent="0.25">
      <c r="A1012" t="s">
        <v>43</v>
      </c>
      <c r="B1012" t="s">
        <v>615</v>
      </c>
      <c r="C1012" t="s">
        <v>487</v>
      </c>
      <c r="D1012">
        <v>0.03</v>
      </c>
    </row>
    <row r="1013" spans="1:4" x14ac:dyDescent="0.25">
      <c r="A1013" t="s">
        <v>43</v>
      </c>
      <c r="B1013" t="s">
        <v>615</v>
      </c>
      <c r="C1013" t="s">
        <v>493</v>
      </c>
      <c r="D1013">
        <v>0.03</v>
      </c>
    </row>
    <row r="1014" spans="1:4" x14ac:dyDescent="0.25">
      <c r="A1014" t="s">
        <v>43</v>
      </c>
      <c r="B1014" t="s">
        <v>615</v>
      </c>
      <c r="C1014" t="s">
        <v>495</v>
      </c>
      <c r="D1014">
        <v>0.03</v>
      </c>
    </row>
    <row r="1015" spans="1:4" x14ac:dyDescent="0.25">
      <c r="A1015" t="s">
        <v>43</v>
      </c>
      <c r="B1015" t="s">
        <v>615</v>
      </c>
      <c r="C1015" t="s">
        <v>496</v>
      </c>
      <c r="D1015">
        <v>0.03</v>
      </c>
    </row>
    <row r="1016" spans="1:4" x14ac:dyDescent="0.25">
      <c r="A1016" t="s">
        <v>43</v>
      </c>
      <c r="B1016" t="s">
        <v>615</v>
      </c>
      <c r="C1016" t="s">
        <v>497</v>
      </c>
      <c r="D1016">
        <v>0.03</v>
      </c>
    </row>
    <row r="1017" spans="1:4" x14ac:dyDescent="0.25">
      <c r="A1017" t="s">
        <v>43</v>
      </c>
      <c r="B1017" t="s">
        <v>615</v>
      </c>
      <c r="C1017" t="s">
        <v>498</v>
      </c>
      <c r="D1017">
        <v>0.03</v>
      </c>
    </row>
    <row r="1018" spans="1:4" x14ac:dyDescent="0.25">
      <c r="A1018" t="s">
        <v>43</v>
      </c>
      <c r="B1018" t="s">
        <v>615</v>
      </c>
      <c r="C1018" t="s">
        <v>499</v>
      </c>
      <c r="D1018">
        <v>0.03</v>
      </c>
    </row>
    <row r="1019" spans="1:4" x14ac:dyDescent="0.25">
      <c r="A1019" t="s">
        <v>43</v>
      </c>
      <c r="B1019" t="s">
        <v>24</v>
      </c>
      <c r="C1019" t="s">
        <v>495</v>
      </c>
      <c r="D1019">
        <v>2.915</v>
      </c>
    </row>
    <row r="1020" spans="1:4" x14ac:dyDescent="0.25">
      <c r="A1020" t="s">
        <v>43</v>
      </c>
      <c r="B1020" t="s">
        <v>24</v>
      </c>
      <c r="C1020" t="s">
        <v>498</v>
      </c>
      <c r="D1020">
        <v>3.0230000000000001</v>
      </c>
    </row>
    <row r="1021" spans="1:4" x14ac:dyDescent="0.25">
      <c r="A1021" t="s">
        <v>43</v>
      </c>
      <c r="B1021" t="s">
        <v>24</v>
      </c>
      <c r="C1021" t="s">
        <v>499</v>
      </c>
      <c r="D1021">
        <v>3.1</v>
      </c>
    </row>
    <row r="1022" spans="1:4" x14ac:dyDescent="0.25">
      <c r="A1022" t="s">
        <v>43</v>
      </c>
      <c r="B1022" t="s">
        <v>25</v>
      </c>
      <c r="C1022" t="s">
        <v>495</v>
      </c>
      <c r="D1022">
        <v>2.2639999999999998</v>
      </c>
    </row>
    <row r="1023" spans="1:4" x14ac:dyDescent="0.25">
      <c r="A1023" t="s">
        <v>43</v>
      </c>
      <c r="B1023" t="s">
        <v>25</v>
      </c>
      <c r="C1023" t="s">
        <v>498</v>
      </c>
      <c r="D1023">
        <v>2.2639999999999998</v>
      </c>
    </row>
    <row r="1024" spans="1:4" x14ac:dyDescent="0.25">
      <c r="A1024" t="s">
        <v>43</v>
      </c>
      <c r="B1024" t="s">
        <v>25</v>
      </c>
      <c r="C1024" t="s">
        <v>499</v>
      </c>
      <c r="D1024">
        <v>2.2639999999999998</v>
      </c>
    </row>
    <row r="1025" spans="1:4" x14ac:dyDescent="0.25">
      <c r="A1025" t="s">
        <v>43</v>
      </c>
      <c r="B1025" t="s">
        <v>616</v>
      </c>
      <c r="C1025" t="s">
        <v>486</v>
      </c>
      <c r="D1025">
        <v>0.48</v>
      </c>
    </row>
    <row r="1026" spans="1:4" x14ac:dyDescent="0.25">
      <c r="A1026" t="s">
        <v>43</v>
      </c>
      <c r="B1026" t="s">
        <v>616</v>
      </c>
      <c r="C1026" t="s">
        <v>487</v>
      </c>
      <c r="D1026">
        <v>0.48</v>
      </c>
    </row>
    <row r="1027" spans="1:4" x14ac:dyDescent="0.25">
      <c r="A1027" t="s">
        <v>43</v>
      </c>
      <c r="B1027" t="s">
        <v>616</v>
      </c>
      <c r="C1027" t="s">
        <v>493</v>
      </c>
      <c r="D1027">
        <v>0.48</v>
      </c>
    </row>
    <row r="1028" spans="1:4" x14ac:dyDescent="0.25">
      <c r="A1028" t="s">
        <v>43</v>
      </c>
      <c r="B1028" t="s">
        <v>616</v>
      </c>
      <c r="C1028" t="s">
        <v>495</v>
      </c>
      <c r="D1028">
        <v>0.48</v>
      </c>
    </row>
    <row r="1029" spans="1:4" x14ac:dyDescent="0.25">
      <c r="A1029" t="s">
        <v>43</v>
      </c>
      <c r="B1029" t="s">
        <v>616</v>
      </c>
      <c r="C1029" t="s">
        <v>496</v>
      </c>
      <c r="D1029">
        <v>0.48</v>
      </c>
    </row>
    <row r="1030" spans="1:4" x14ac:dyDescent="0.25">
      <c r="A1030" t="s">
        <v>43</v>
      </c>
      <c r="B1030" t="s">
        <v>616</v>
      </c>
      <c r="C1030" t="s">
        <v>497</v>
      </c>
      <c r="D1030">
        <v>0.48</v>
      </c>
    </row>
    <row r="1031" spans="1:4" x14ac:dyDescent="0.25">
      <c r="A1031" t="s">
        <v>43</v>
      </c>
      <c r="B1031" t="s">
        <v>616</v>
      </c>
      <c r="C1031" t="s">
        <v>498</v>
      </c>
      <c r="D1031">
        <v>0.48</v>
      </c>
    </row>
    <row r="1032" spans="1:4" x14ac:dyDescent="0.25">
      <c r="A1032" t="s">
        <v>43</v>
      </c>
      <c r="B1032" t="s">
        <v>616</v>
      </c>
      <c r="C1032" t="s">
        <v>499</v>
      </c>
      <c r="D1032">
        <v>0.48</v>
      </c>
    </row>
    <row r="1033" spans="1:4" x14ac:dyDescent="0.25">
      <c r="A1033" t="s">
        <v>43</v>
      </c>
      <c r="B1033" t="s">
        <v>44</v>
      </c>
      <c r="C1033" t="s">
        <v>495</v>
      </c>
      <c r="D1033">
        <v>-54.92</v>
      </c>
    </row>
    <row r="1034" spans="1:4" x14ac:dyDescent="0.25">
      <c r="A1034" t="s">
        <v>43</v>
      </c>
      <c r="B1034" t="s">
        <v>44</v>
      </c>
      <c r="C1034" t="s">
        <v>498</v>
      </c>
      <c r="D1034">
        <v>-66.14</v>
      </c>
    </row>
    <row r="1035" spans="1:4" x14ac:dyDescent="0.25">
      <c r="A1035" t="s">
        <v>43</v>
      </c>
      <c r="B1035" t="s">
        <v>44</v>
      </c>
      <c r="C1035" t="s">
        <v>499</v>
      </c>
      <c r="D1035">
        <v>-69.900000000000006</v>
      </c>
    </row>
    <row r="1036" spans="1:4" x14ac:dyDescent="0.25">
      <c r="A1036" t="s">
        <v>45</v>
      </c>
      <c r="B1036" t="s">
        <v>41</v>
      </c>
      <c r="C1036" t="s">
        <v>483</v>
      </c>
      <c r="D1036">
        <v>-0.5</v>
      </c>
    </row>
    <row r="1037" spans="1:4" x14ac:dyDescent="0.25">
      <c r="A1037" t="s">
        <v>45</v>
      </c>
      <c r="B1037" t="s">
        <v>41</v>
      </c>
      <c r="C1037" t="s">
        <v>494</v>
      </c>
      <c r="D1037">
        <v>-0.5</v>
      </c>
    </row>
    <row r="1038" spans="1:4" x14ac:dyDescent="0.25">
      <c r="A1038" t="s">
        <v>45</v>
      </c>
      <c r="B1038" t="s">
        <v>41</v>
      </c>
      <c r="C1038" t="s">
        <v>486</v>
      </c>
      <c r="D1038">
        <v>-0.5</v>
      </c>
    </row>
    <row r="1039" spans="1:4" x14ac:dyDescent="0.25">
      <c r="A1039" t="s">
        <v>45</v>
      </c>
      <c r="B1039" t="s">
        <v>41</v>
      </c>
      <c r="C1039" t="s">
        <v>487</v>
      </c>
      <c r="D1039">
        <v>-0.5</v>
      </c>
    </row>
    <row r="1040" spans="1:4" x14ac:dyDescent="0.25">
      <c r="A1040" t="s">
        <v>45</v>
      </c>
      <c r="B1040" t="s">
        <v>41</v>
      </c>
      <c r="C1040" t="s">
        <v>493</v>
      </c>
      <c r="D1040">
        <v>-0.5</v>
      </c>
    </row>
    <row r="1041" spans="1:4" x14ac:dyDescent="0.25">
      <c r="A1041" t="s">
        <v>45</v>
      </c>
      <c r="B1041" t="s">
        <v>41</v>
      </c>
      <c r="C1041" t="s">
        <v>495</v>
      </c>
      <c r="D1041">
        <v>-0.5</v>
      </c>
    </row>
    <row r="1042" spans="1:4" x14ac:dyDescent="0.25">
      <c r="A1042" t="s">
        <v>45</v>
      </c>
      <c r="B1042" t="s">
        <v>41</v>
      </c>
      <c r="C1042" t="s">
        <v>496</v>
      </c>
      <c r="D1042">
        <v>-0.5</v>
      </c>
    </row>
    <row r="1043" spans="1:4" x14ac:dyDescent="0.25">
      <c r="A1043" t="s">
        <v>45</v>
      </c>
      <c r="B1043" t="s">
        <v>41</v>
      </c>
      <c r="C1043" t="s">
        <v>497</v>
      </c>
      <c r="D1043">
        <v>-0.5</v>
      </c>
    </row>
    <row r="1044" spans="1:4" x14ac:dyDescent="0.25">
      <c r="A1044" t="s">
        <v>45</v>
      </c>
      <c r="B1044" t="s">
        <v>41</v>
      </c>
      <c r="C1044" t="s">
        <v>498</v>
      </c>
      <c r="D1044">
        <v>-0.5</v>
      </c>
    </row>
    <row r="1045" spans="1:4" x14ac:dyDescent="0.25">
      <c r="A1045" t="s">
        <v>45</v>
      </c>
      <c r="B1045" t="s">
        <v>41</v>
      </c>
      <c r="C1045" t="s">
        <v>499</v>
      </c>
      <c r="D1045">
        <v>-0.5</v>
      </c>
    </row>
    <row r="1046" spans="1:4" x14ac:dyDescent="0.25">
      <c r="A1046" t="s">
        <v>45</v>
      </c>
      <c r="B1046" t="s">
        <v>5</v>
      </c>
      <c r="C1046" t="s">
        <v>483</v>
      </c>
      <c r="D1046">
        <v>1.766</v>
      </c>
    </row>
    <row r="1047" spans="1:4" x14ac:dyDescent="0.25">
      <c r="A1047" t="s">
        <v>45</v>
      </c>
      <c r="B1047" t="s">
        <v>5</v>
      </c>
      <c r="C1047" t="s">
        <v>494</v>
      </c>
      <c r="D1047">
        <v>2.133</v>
      </c>
    </row>
    <row r="1048" spans="1:4" x14ac:dyDescent="0.25">
      <c r="A1048" t="s">
        <v>45</v>
      </c>
      <c r="B1048" t="s">
        <v>5</v>
      </c>
      <c r="C1048" t="s">
        <v>486</v>
      </c>
      <c r="D1048">
        <v>2.11</v>
      </c>
    </row>
    <row r="1049" spans="1:4" x14ac:dyDescent="0.25">
      <c r="A1049" t="s">
        <v>45</v>
      </c>
      <c r="B1049" t="s">
        <v>5</v>
      </c>
      <c r="C1049" t="s">
        <v>487</v>
      </c>
      <c r="D1049">
        <v>1.9330000000000001</v>
      </c>
    </row>
    <row r="1050" spans="1:4" x14ac:dyDescent="0.25">
      <c r="A1050" t="s">
        <v>45</v>
      </c>
      <c r="B1050" t="s">
        <v>5</v>
      </c>
      <c r="C1050" t="s">
        <v>493</v>
      </c>
      <c r="D1050">
        <v>1.88</v>
      </c>
    </row>
    <row r="1051" spans="1:4" x14ac:dyDescent="0.25">
      <c r="A1051" t="s">
        <v>45</v>
      </c>
      <c r="B1051" t="s">
        <v>5</v>
      </c>
      <c r="C1051" t="s">
        <v>495</v>
      </c>
      <c r="D1051">
        <v>2.3319999999999999</v>
      </c>
    </row>
    <row r="1052" spans="1:4" x14ac:dyDescent="0.25">
      <c r="A1052" t="s">
        <v>45</v>
      </c>
      <c r="B1052" t="s">
        <v>5</v>
      </c>
      <c r="C1052" t="s">
        <v>496</v>
      </c>
      <c r="D1052">
        <v>1.758</v>
      </c>
    </row>
    <row r="1053" spans="1:4" x14ac:dyDescent="0.25">
      <c r="A1053" t="s">
        <v>45</v>
      </c>
      <c r="B1053" t="s">
        <v>5</v>
      </c>
      <c r="C1053" t="s">
        <v>497</v>
      </c>
      <c r="D1053">
        <v>2.258</v>
      </c>
    </row>
    <row r="1054" spans="1:4" x14ac:dyDescent="0.25">
      <c r="A1054" t="s">
        <v>45</v>
      </c>
      <c r="B1054" t="s">
        <v>5</v>
      </c>
      <c r="C1054" t="s">
        <v>498</v>
      </c>
      <c r="D1054">
        <v>2.3849999999999998</v>
      </c>
    </row>
    <row r="1055" spans="1:4" x14ac:dyDescent="0.25">
      <c r="A1055" t="s">
        <v>45</v>
      </c>
      <c r="B1055" t="s">
        <v>5</v>
      </c>
      <c r="C1055" t="s">
        <v>499</v>
      </c>
      <c r="D1055">
        <v>2.4079999999999999</v>
      </c>
    </row>
    <row r="1056" spans="1:4" x14ac:dyDescent="0.25">
      <c r="A1056" t="s">
        <v>45</v>
      </c>
      <c r="B1056" t="s">
        <v>22</v>
      </c>
      <c r="C1056" t="s">
        <v>483</v>
      </c>
      <c r="D1056">
        <v>7.0000000000000001E-3</v>
      </c>
    </row>
    <row r="1057" spans="1:4" x14ac:dyDescent="0.25">
      <c r="A1057" t="s">
        <v>45</v>
      </c>
      <c r="B1057" t="s">
        <v>22</v>
      </c>
      <c r="C1057" t="s">
        <v>494</v>
      </c>
      <c r="D1057">
        <v>6.0000000000000001E-3</v>
      </c>
    </row>
    <row r="1058" spans="1:4" x14ac:dyDescent="0.25">
      <c r="A1058" t="s">
        <v>45</v>
      </c>
      <c r="B1058" t="s">
        <v>22</v>
      </c>
      <c r="C1058" t="s">
        <v>486</v>
      </c>
      <c r="D1058">
        <v>7.0000000000000001E-3</v>
      </c>
    </row>
    <row r="1059" spans="1:4" x14ac:dyDescent="0.25">
      <c r="A1059" t="s">
        <v>45</v>
      </c>
      <c r="B1059" t="s">
        <v>22</v>
      </c>
      <c r="C1059" t="s">
        <v>487</v>
      </c>
      <c r="D1059">
        <v>6.0000000000000001E-3</v>
      </c>
    </row>
    <row r="1060" spans="1:4" x14ac:dyDescent="0.25">
      <c r="A1060" t="s">
        <v>45</v>
      </c>
      <c r="B1060" t="s">
        <v>22</v>
      </c>
      <c r="C1060" t="s">
        <v>493</v>
      </c>
      <c r="D1060">
        <v>8.0000000000000002E-3</v>
      </c>
    </row>
    <row r="1061" spans="1:4" x14ac:dyDescent="0.25">
      <c r="A1061" t="s">
        <v>45</v>
      </c>
      <c r="B1061" t="s">
        <v>22</v>
      </c>
      <c r="C1061" t="s">
        <v>495</v>
      </c>
      <c r="D1061">
        <v>6.0000000000000001E-3</v>
      </c>
    </row>
    <row r="1062" spans="1:4" x14ac:dyDescent="0.25">
      <c r="A1062" t="s">
        <v>45</v>
      </c>
      <c r="B1062" t="s">
        <v>22</v>
      </c>
      <c r="C1062" t="s">
        <v>496</v>
      </c>
      <c r="D1062">
        <v>5.0000000000000001E-3</v>
      </c>
    </row>
    <row r="1063" spans="1:4" x14ac:dyDescent="0.25">
      <c r="A1063" t="s">
        <v>45</v>
      </c>
      <c r="B1063" t="s">
        <v>22</v>
      </c>
      <c r="C1063" t="s">
        <v>497</v>
      </c>
      <c r="D1063">
        <v>5.0000000000000001E-3</v>
      </c>
    </row>
    <row r="1064" spans="1:4" x14ac:dyDescent="0.25">
      <c r="A1064" t="s">
        <v>45</v>
      </c>
      <c r="B1064" t="s">
        <v>22</v>
      </c>
      <c r="C1064" t="s">
        <v>498</v>
      </c>
      <c r="D1064">
        <v>5.0000000000000001E-3</v>
      </c>
    </row>
    <row r="1065" spans="1:4" x14ac:dyDescent="0.25">
      <c r="A1065" t="s">
        <v>45</v>
      </c>
      <c r="B1065" t="s">
        <v>22</v>
      </c>
      <c r="C1065" t="s">
        <v>499</v>
      </c>
      <c r="D1065">
        <v>5.0000000000000001E-3</v>
      </c>
    </row>
    <row r="1066" spans="1:4" x14ac:dyDescent="0.25">
      <c r="A1066" t="s">
        <v>45</v>
      </c>
      <c r="B1066" t="s">
        <v>23</v>
      </c>
      <c r="C1066" t="s">
        <v>483</v>
      </c>
      <c r="D1066">
        <v>0.152</v>
      </c>
    </row>
    <row r="1067" spans="1:4" x14ac:dyDescent="0.25">
      <c r="A1067" t="s">
        <v>45</v>
      </c>
      <c r="B1067" t="s">
        <v>23</v>
      </c>
      <c r="C1067" t="s">
        <v>494</v>
      </c>
      <c r="D1067">
        <v>0.154</v>
      </c>
    </row>
    <row r="1068" spans="1:4" x14ac:dyDescent="0.25">
      <c r="A1068" t="s">
        <v>45</v>
      </c>
      <c r="B1068" t="s">
        <v>23</v>
      </c>
      <c r="C1068" t="s">
        <v>486</v>
      </c>
      <c r="D1068">
        <v>0.157</v>
      </c>
    </row>
    <row r="1069" spans="1:4" x14ac:dyDescent="0.25">
      <c r="A1069" t="s">
        <v>45</v>
      </c>
      <c r="B1069" t="s">
        <v>23</v>
      </c>
      <c r="C1069" t="s">
        <v>487</v>
      </c>
      <c r="D1069">
        <v>0.155</v>
      </c>
    </row>
    <row r="1070" spans="1:4" x14ac:dyDescent="0.25">
      <c r="A1070" t="s">
        <v>45</v>
      </c>
      <c r="B1070" t="s">
        <v>23</v>
      </c>
      <c r="C1070" t="s">
        <v>493</v>
      </c>
      <c r="D1070">
        <v>0.153</v>
      </c>
    </row>
    <row r="1071" spans="1:4" x14ac:dyDescent="0.25">
      <c r="A1071" t="s">
        <v>45</v>
      </c>
      <c r="B1071" t="s">
        <v>23</v>
      </c>
      <c r="C1071" t="s">
        <v>495</v>
      </c>
      <c r="D1071">
        <v>0.16800000000000001</v>
      </c>
    </row>
    <row r="1072" spans="1:4" x14ac:dyDescent="0.25">
      <c r="A1072" t="s">
        <v>45</v>
      </c>
      <c r="B1072" t="s">
        <v>23</v>
      </c>
      <c r="C1072" t="s">
        <v>496</v>
      </c>
      <c r="D1072">
        <v>0.16</v>
      </c>
    </row>
    <row r="1073" spans="1:4" x14ac:dyDescent="0.25">
      <c r="A1073" t="s">
        <v>45</v>
      </c>
      <c r="B1073" t="s">
        <v>23</v>
      </c>
      <c r="C1073" t="s">
        <v>497</v>
      </c>
      <c r="D1073">
        <v>0.155</v>
      </c>
    </row>
    <row r="1074" spans="1:4" x14ac:dyDescent="0.25">
      <c r="A1074" t="s">
        <v>45</v>
      </c>
      <c r="B1074" t="s">
        <v>23</v>
      </c>
      <c r="C1074" t="s">
        <v>498</v>
      </c>
      <c r="D1074">
        <v>0.18</v>
      </c>
    </row>
    <row r="1075" spans="1:4" x14ac:dyDescent="0.25">
      <c r="A1075" t="s">
        <v>45</v>
      </c>
      <c r="B1075" t="s">
        <v>23</v>
      </c>
      <c r="C1075" t="s">
        <v>499</v>
      </c>
      <c r="D1075">
        <v>0.185</v>
      </c>
    </row>
    <row r="1076" spans="1:4" x14ac:dyDescent="0.25">
      <c r="A1076" t="s">
        <v>45</v>
      </c>
      <c r="B1076" t="s">
        <v>615</v>
      </c>
      <c r="C1076" t="s">
        <v>479</v>
      </c>
      <c r="D1076">
        <v>2.5999999999999999E-2</v>
      </c>
    </row>
    <row r="1077" spans="1:4" x14ac:dyDescent="0.25">
      <c r="A1077" t="s">
        <v>45</v>
      </c>
      <c r="B1077" t="s">
        <v>615</v>
      </c>
      <c r="C1077" t="s">
        <v>481</v>
      </c>
      <c r="D1077">
        <v>2.5999999999999999E-2</v>
      </c>
    </row>
    <row r="1078" spans="1:4" x14ac:dyDescent="0.25">
      <c r="A1078" t="s">
        <v>45</v>
      </c>
      <c r="B1078" t="s">
        <v>615</v>
      </c>
      <c r="C1078" t="s">
        <v>491</v>
      </c>
      <c r="D1078">
        <v>2.5000000000000001E-2</v>
      </c>
    </row>
    <row r="1079" spans="1:4" x14ac:dyDescent="0.25">
      <c r="A1079" t="s">
        <v>45</v>
      </c>
      <c r="B1079" t="s">
        <v>615</v>
      </c>
      <c r="C1079" t="s">
        <v>492</v>
      </c>
      <c r="D1079">
        <v>2.9000000000000001E-2</v>
      </c>
    </row>
    <row r="1080" spans="1:4" x14ac:dyDescent="0.25">
      <c r="A1080" t="s">
        <v>45</v>
      </c>
      <c r="B1080" t="s">
        <v>615</v>
      </c>
      <c r="C1080" t="s">
        <v>483</v>
      </c>
      <c r="D1080">
        <v>2.9000000000000001E-2</v>
      </c>
    </row>
    <row r="1081" spans="1:4" x14ac:dyDescent="0.25">
      <c r="A1081" t="s">
        <v>45</v>
      </c>
      <c r="B1081" t="s">
        <v>615</v>
      </c>
      <c r="C1081" t="s">
        <v>494</v>
      </c>
      <c r="D1081">
        <v>3.5000000000000003E-2</v>
      </c>
    </row>
    <row r="1082" spans="1:4" x14ac:dyDescent="0.25">
      <c r="A1082" t="s">
        <v>45</v>
      </c>
      <c r="B1082" t="s">
        <v>615</v>
      </c>
      <c r="C1082" t="s">
        <v>486</v>
      </c>
      <c r="D1082">
        <v>2.8000000000000001E-2</v>
      </c>
    </row>
    <row r="1083" spans="1:4" x14ac:dyDescent="0.25">
      <c r="A1083" t="s">
        <v>45</v>
      </c>
      <c r="B1083" t="s">
        <v>615</v>
      </c>
      <c r="C1083" t="s">
        <v>487</v>
      </c>
      <c r="D1083">
        <v>1.0999999999999999E-2</v>
      </c>
    </row>
    <row r="1084" spans="1:4" x14ac:dyDescent="0.25">
      <c r="A1084" t="s">
        <v>45</v>
      </c>
      <c r="B1084" t="s">
        <v>615</v>
      </c>
      <c r="C1084" t="s">
        <v>493</v>
      </c>
      <c r="D1084">
        <v>3.1E-2</v>
      </c>
    </row>
    <row r="1085" spans="1:4" x14ac:dyDescent="0.25">
      <c r="A1085" t="s">
        <v>45</v>
      </c>
      <c r="B1085" t="s">
        <v>615</v>
      </c>
      <c r="C1085" t="s">
        <v>495</v>
      </c>
      <c r="D1085">
        <v>2.4E-2</v>
      </c>
    </row>
    <row r="1086" spans="1:4" x14ac:dyDescent="0.25">
      <c r="A1086" t="s">
        <v>45</v>
      </c>
      <c r="B1086" t="s">
        <v>615</v>
      </c>
      <c r="C1086" t="s">
        <v>496</v>
      </c>
      <c r="D1086">
        <v>2.5000000000000001E-2</v>
      </c>
    </row>
    <row r="1087" spans="1:4" x14ac:dyDescent="0.25">
      <c r="A1087" t="s">
        <v>45</v>
      </c>
      <c r="B1087" t="s">
        <v>615</v>
      </c>
      <c r="C1087" t="s">
        <v>497</v>
      </c>
      <c r="D1087">
        <v>2.5000000000000001E-2</v>
      </c>
    </row>
    <row r="1088" spans="1:4" x14ac:dyDescent="0.25">
      <c r="A1088" t="s">
        <v>45</v>
      </c>
      <c r="B1088" t="s">
        <v>615</v>
      </c>
      <c r="C1088" t="s">
        <v>498</v>
      </c>
      <c r="D1088">
        <v>5.6000000000000001E-2</v>
      </c>
    </row>
    <row r="1089" spans="1:4" x14ac:dyDescent="0.25">
      <c r="A1089" t="s">
        <v>45</v>
      </c>
      <c r="B1089" t="s">
        <v>615</v>
      </c>
      <c r="C1089" t="s">
        <v>499</v>
      </c>
      <c r="D1089">
        <v>5.6000000000000001E-2</v>
      </c>
    </row>
    <row r="1090" spans="1:4" x14ac:dyDescent="0.25">
      <c r="A1090" t="s">
        <v>45</v>
      </c>
      <c r="B1090" t="s">
        <v>42</v>
      </c>
      <c r="C1090" t="s">
        <v>483</v>
      </c>
      <c r="D1090">
        <v>-3.3570000000000002</v>
      </c>
    </row>
    <row r="1091" spans="1:4" x14ac:dyDescent="0.25">
      <c r="A1091" t="s">
        <v>45</v>
      </c>
      <c r="B1091" t="s">
        <v>42</v>
      </c>
      <c r="C1091" t="s">
        <v>494</v>
      </c>
      <c r="D1091">
        <v>-3.4369999999999998</v>
      </c>
    </row>
    <row r="1092" spans="1:4" x14ac:dyDescent="0.25">
      <c r="A1092" t="s">
        <v>45</v>
      </c>
      <c r="B1092" t="s">
        <v>42</v>
      </c>
      <c r="C1092" t="s">
        <v>486</v>
      </c>
      <c r="D1092">
        <v>-3.6120000000000001</v>
      </c>
    </row>
    <row r="1093" spans="1:4" x14ac:dyDescent="0.25">
      <c r="A1093" t="s">
        <v>45</v>
      </c>
      <c r="B1093" t="s">
        <v>42</v>
      </c>
      <c r="C1093" t="s">
        <v>487</v>
      </c>
      <c r="D1093">
        <v>-3.524</v>
      </c>
    </row>
    <row r="1094" spans="1:4" x14ac:dyDescent="0.25">
      <c r="A1094" t="s">
        <v>45</v>
      </c>
      <c r="B1094" t="s">
        <v>42</v>
      </c>
      <c r="C1094" t="s">
        <v>493</v>
      </c>
      <c r="D1094">
        <v>-3.403</v>
      </c>
    </row>
    <row r="1095" spans="1:4" x14ac:dyDescent="0.25">
      <c r="A1095" t="s">
        <v>45</v>
      </c>
      <c r="B1095" t="s">
        <v>42</v>
      </c>
      <c r="C1095" t="s">
        <v>495</v>
      </c>
      <c r="D1095">
        <v>-4.1340000000000003</v>
      </c>
    </row>
    <row r="1096" spans="1:4" x14ac:dyDescent="0.25">
      <c r="A1096" t="s">
        <v>45</v>
      </c>
      <c r="B1096" t="s">
        <v>42</v>
      </c>
      <c r="C1096" t="s">
        <v>496</v>
      </c>
      <c r="D1096">
        <v>-3.7549999999999999</v>
      </c>
    </row>
    <row r="1097" spans="1:4" x14ac:dyDescent="0.25">
      <c r="A1097" t="s">
        <v>45</v>
      </c>
      <c r="B1097" t="s">
        <v>42</v>
      </c>
      <c r="C1097" t="s">
        <v>497</v>
      </c>
      <c r="D1097">
        <v>-3.5</v>
      </c>
    </row>
    <row r="1098" spans="1:4" x14ac:dyDescent="0.25">
      <c r="A1098" t="s">
        <v>45</v>
      </c>
      <c r="B1098" t="s">
        <v>42</v>
      </c>
      <c r="C1098" t="s">
        <v>498</v>
      </c>
      <c r="D1098">
        <v>-4.5640000000000001</v>
      </c>
    </row>
    <row r="1099" spans="1:4" x14ac:dyDescent="0.25">
      <c r="A1099" t="s">
        <v>45</v>
      </c>
      <c r="B1099" t="s">
        <v>42</v>
      </c>
      <c r="C1099" t="s">
        <v>499</v>
      </c>
      <c r="D1099">
        <v>-4.7480000000000002</v>
      </c>
    </row>
    <row r="1100" spans="1:4" x14ac:dyDescent="0.25">
      <c r="A1100" t="s">
        <v>45</v>
      </c>
      <c r="B1100" t="s">
        <v>24</v>
      </c>
      <c r="C1100" t="s">
        <v>483</v>
      </c>
      <c r="D1100">
        <v>0.60599999999999998</v>
      </c>
    </row>
    <row r="1101" spans="1:4" x14ac:dyDescent="0.25">
      <c r="A1101" t="s">
        <v>45</v>
      </c>
      <c r="B1101" t="s">
        <v>24</v>
      </c>
      <c r="C1101" t="s">
        <v>494</v>
      </c>
      <c r="D1101">
        <v>0.60599999999999998</v>
      </c>
    </row>
    <row r="1102" spans="1:4" x14ac:dyDescent="0.25">
      <c r="A1102" t="s">
        <v>45</v>
      </c>
      <c r="B1102" t="s">
        <v>24</v>
      </c>
      <c r="C1102" t="s">
        <v>486</v>
      </c>
      <c r="D1102">
        <v>0.61599999999999999</v>
      </c>
    </row>
    <row r="1103" spans="1:4" x14ac:dyDescent="0.25">
      <c r="A1103" t="s">
        <v>45</v>
      </c>
      <c r="B1103" t="s">
        <v>24</v>
      </c>
      <c r="C1103" t="s">
        <v>487</v>
      </c>
      <c r="D1103">
        <v>0.61099999999999999</v>
      </c>
    </row>
    <row r="1104" spans="1:4" x14ac:dyDescent="0.25">
      <c r="A1104" t="s">
        <v>45</v>
      </c>
      <c r="B1104" t="s">
        <v>24</v>
      </c>
      <c r="C1104" t="s">
        <v>493</v>
      </c>
      <c r="D1104">
        <v>0.60399999999999998</v>
      </c>
    </row>
    <row r="1105" spans="1:4" x14ac:dyDescent="0.25">
      <c r="A1105" t="s">
        <v>45</v>
      </c>
      <c r="B1105" t="s">
        <v>24</v>
      </c>
      <c r="C1105" t="s">
        <v>495</v>
      </c>
      <c r="D1105">
        <v>0.64300000000000002</v>
      </c>
    </row>
    <row r="1106" spans="1:4" x14ac:dyDescent="0.25">
      <c r="A1106" t="s">
        <v>45</v>
      </c>
      <c r="B1106" t="s">
        <v>24</v>
      </c>
      <c r="C1106" t="s">
        <v>496</v>
      </c>
      <c r="D1106">
        <v>0.623</v>
      </c>
    </row>
    <row r="1107" spans="1:4" x14ac:dyDescent="0.25">
      <c r="A1107" t="s">
        <v>45</v>
      </c>
      <c r="B1107" t="s">
        <v>24</v>
      </c>
      <c r="C1107" t="s">
        <v>497</v>
      </c>
      <c r="D1107">
        <v>0.63700000000000001</v>
      </c>
    </row>
    <row r="1108" spans="1:4" x14ac:dyDescent="0.25">
      <c r="A1108" t="s">
        <v>45</v>
      </c>
      <c r="B1108" t="s">
        <v>24</v>
      </c>
      <c r="C1108" t="s">
        <v>498</v>
      </c>
      <c r="D1108">
        <v>0.66600000000000004</v>
      </c>
    </row>
    <row r="1109" spans="1:4" x14ac:dyDescent="0.25">
      <c r="A1109" t="s">
        <v>45</v>
      </c>
      <c r="B1109" t="s">
        <v>24</v>
      </c>
      <c r="C1109" t="s">
        <v>499</v>
      </c>
      <c r="D1109">
        <v>0.67600000000000005</v>
      </c>
    </row>
    <row r="1110" spans="1:4" x14ac:dyDescent="0.25">
      <c r="A1110" t="s">
        <v>45</v>
      </c>
      <c r="B1110" t="s">
        <v>25</v>
      </c>
      <c r="C1110" t="s">
        <v>483</v>
      </c>
      <c r="D1110">
        <v>0.13300000000000001</v>
      </c>
    </row>
    <row r="1111" spans="1:4" x14ac:dyDescent="0.25">
      <c r="A1111" t="s">
        <v>45</v>
      </c>
      <c r="B1111" t="s">
        <v>25</v>
      </c>
      <c r="C1111" t="s">
        <v>494</v>
      </c>
      <c r="D1111">
        <v>0.63900000000000001</v>
      </c>
    </row>
    <row r="1112" spans="1:4" x14ac:dyDescent="0.25">
      <c r="A1112" t="s">
        <v>45</v>
      </c>
      <c r="B1112" t="s">
        <v>25</v>
      </c>
      <c r="C1112" t="s">
        <v>486</v>
      </c>
      <c r="D1112">
        <v>0.50800000000000001</v>
      </c>
    </row>
    <row r="1113" spans="1:4" x14ac:dyDescent="0.25">
      <c r="A1113" t="s">
        <v>45</v>
      </c>
      <c r="B1113" t="s">
        <v>25</v>
      </c>
      <c r="C1113" t="s">
        <v>487</v>
      </c>
      <c r="D1113">
        <v>0.29899999999999999</v>
      </c>
    </row>
    <row r="1114" spans="1:4" x14ac:dyDescent="0.25">
      <c r="A1114" t="s">
        <v>45</v>
      </c>
      <c r="B1114" t="s">
        <v>25</v>
      </c>
      <c r="C1114" t="s">
        <v>493</v>
      </c>
      <c r="D1114">
        <v>0.13300000000000001</v>
      </c>
    </row>
    <row r="1115" spans="1:4" x14ac:dyDescent="0.25">
      <c r="A1115" t="s">
        <v>45</v>
      </c>
      <c r="B1115" t="s">
        <v>25</v>
      </c>
      <c r="C1115" t="s">
        <v>495</v>
      </c>
      <c r="D1115">
        <v>0.78900000000000003</v>
      </c>
    </row>
    <row r="1116" spans="1:4" x14ac:dyDescent="0.25">
      <c r="A1116" t="s">
        <v>45</v>
      </c>
      <c r="B1116" t="s">
        <v>25</v>
      </c>
      <c r="C1116" t="s">
        <v>496</v>
      </c>
      <c r="D1116">
        <v>0.63900000000000001</v>
      </c>
    </row>
    <row r="1117" spans="1:4" x14ac:dyDescent="0.25">
      <c r="A1117" t="s">
        <v>45</v>
      </c>
      <c r="B1117" t="s">
        <v>25</v>
      </c>
      <c r="C1117" t="s">
        <v>497</v>
      </c>
      <c r="D1117">
        <v>0.63900000000000001</v>
      </c>
    </row>
    <row r="1118" spans="1:4" x14ac:dyDescent="0.25">
      <c r="A1118" t="s">
        <v>45</v>
      </c>
      <c r="B1118" t="s">
        <v>25</v>
      </c>
      <c r="C1118" t="s">
        <v>498</v>
      </c>
      <c r="D1118">
        <v>0.79</v>
      </c>
    </row>
    <row r="1119" spans="1:4" x14ac:dyDescent="0.25">
      <c r="A1119" t="s">
        <v>45</v>
      </c>
      <c r="B1119" t="s">
        <v>25</v>
      </c>
      <c r="C1119" t="s">
        <v>499</v>
      </c>
      <c r="D1119">
        <v>0.76900000000000002</v>
      </c>
    </row>
    <row r="1120" spans="1:4" x14ac:dyDescent="0.25">
      <c r="A1120" t="s">
        <v>45</v>
      </c>
      <c r="B1120" t="s">
        <v>616</v>
      </c>
      <c r="C1120" t="s">
        <v>479</v>
      </c>
      <c r="D1120">
        <v>0.88</v>
      </c>
    </row>
    <row r="1121" spans="1:4" x14ac:dyDescent="0.25">
      <c r="A1121" t="s">
        <v>45</v>
      </c>
      <c r="B1121" t="s">
        <v>616</v>
      </c>
      <c r="C1121" t="s">
        <v>481</v>
      </c>
      <c r="D1121">
        <v>0.88</v>
      </c>
    </row>
    <row r="1122" spans="1:4" x14ac:dyDescent="0.25">
      <c r="A1122" t="s">
        <v>45</v>
      </c>
      <c r="B1122" t="s">
        <v>616</v>
      </c>
      <c r="C1122" t="s">
        <v>491</v>
      </c>
      <c r="D1122">
        <v>1.1000000000000001</v>
      </c>
    </row>
    <row r="1123" spans="1:4" x14ac:dyDescent="0.25">
      <c r="A1123" t="s">
        <v>45</v>
      </c>
      <c r="B1123" t="s">
        <v>616</v>
      </c>
      <c r="C1123" t="s">
        <v>492</v>
      </c>
      <c r="D1123">
        <v>0.99</v>
      </c>
    </row>
    <row r="1124" spans="1:4" x14ac:dyDescent="0.25">
      <c r="A1124" t="s">
        <v>45</v>
      </c>
      <c r="B1124" t="s">
        <v>616</v>
      </c>
      <c r="C1124" t="s">
        <v>483</v>
      </c>
      <c r="D1124">
        <v>0.86</v>
      </c>
    </row>
    <row r="1125" spans="1:4" x14ac:dyDescent="0.25">
      <c r="A1125" t="s">
        <v>45</v>
      </c>
      <c r="B1125" t="s">
        <v>616</v>
      </c>
      <c r="C1125" t="s">
        <v>494</v>
      </c>
      <c r="D1125">
        <v>0.73</v>
      </c>
    </row>
    <row r="1126" spans="1:4" x14ac:dyDescent="0.25">
      <c r="A1126" t="s">
        <v>45</v>
      </c>
      <c r="B1126" t="s">
        <v>616</v>
      </c>
      <c r="C1126" t="s">
        <v>486</v>
      </c>
      <c r="D1126">
        <v>0.51</v>
      </c>
    </row>
    <row r="1127" spans="1:4" x14ac:dyDescent="0.25">
      <c r="A1127" t="s">
        <v>45</v>
      </c>
      <c r="B1127" t="s">
        <v>616</v>
      </c>
      <c r="C1127" t="s">
        <v>487</v>
      </c>
      <c r="D1127">
        <v>0.56000000000000005</v>
      </c>
    </row>
    <row r="1128" spans="1:4" x14ac:dyDescent="0.25">
      <c r="A1128" t="s">
        <v>45</v>
      </c>
      <c r="B1128" t="s">
        <v>616</v>
      </c>
      <c r="C1128" t="s">
        <v>493</v>
      </c>
      <c r="D1128">
        <v>0.62</v>
      </c>
    </row>
    <row r="1129" spans="1:4" x14ac:dyDescent="0.25">
      <c r="A1129" t="s">
        <v>45</v>
      </c>
      <c r="B1129" t="s">
        <v>616</v>
      </c>
      <c r="C1129" t="s">
        <v>495</v>
      </c>
      <c r="D1129">
        <v>0.17</v>
      </c>
    </row>
    <row r="1130" spans="1:4" x14ac:dyDescent="0.25">
      <c r="A1130" t="s">
        <v>45</v>
      </c>
      <c r="B1130" t="s">
        <v>616</v>
      </c>
      <c r="C1130" t="s">
        <v>496</v>
      </c>
      <c r="D1130">
        <v>0.62</v>
      </c>
    </row>
    <row r="1131" spans="1:4" x14ac:dyDescent="0.25">
      <c r="A1131" t="s">
        <v>45</v>
      </c>
      <c r="B1131" t="s">
        <v>616</v>
      </c>
      <c r="C1131" t="s">
        <v>497</v>
      </c>
      <c r="D1131">
        <v>0.62</v>
      </c>
    </row>
    <row r="1132" spans="1:4" x14ac:dyDescent="0.25">
      <c r="A1132" t="s">
        <v>45</v>
      </c>
      <c r="B1132" t="s">
        <v>616</v>
      </c>
      <c r="C1132" t="s">
        <v>498</v>
      </c>
      <c r="D1132">
        <v>0.4</v>
      </c>
    </row>
    <row r="1133" spans="1:4" x14ac:dyDescent="0.25">
      <c r="A1133" t="s">
        <v>45</v>
      </c>
      <c r="B1133" t="s">
        <v>616</v>
      </c>
      <c r="C1133" t="s">
        <v>499</v>
      </c>
      <c r="D1133">
        <v>0.4</v>
      </c>
    </row>
    <row r="1134" spans="1:4" x14ac:dyDescent="0.25">
      <c r="A1134" t="s">
        <v>46</v>
      </c>
      <c r="B1134" t="s">
        <v>41</v>
      </c>
      <c r="C1134" t="s">
        <v>492</v>
      </c>
      <c r="D1134">
        <v>-4.0819999999999999</v>
      </c>
    </row>
    <row r="1135" spans="1:4" x14ac:dyDescent="0.25">
      <c r="A1135" t="s">
        <v>46</v>
      </c>
      <c r="B1135" t="s">
        <v>41</v>
      </c>
      <c r="C1135" t="s">
        <v>483</v>
      </c>
      <c r="D1135">
        <v>-4.8460000000000001</v>
      </c>
    </row>
    <row r="1136" spans="1:4" x14ac:dyDescent="0.25">
      <c r="A1136" t="s">
        <v>46</v>
      </c>
      <c r="B1136" t="s">
        <v>41</v>
      </c>
      <c r="C1136" t="s">
        <v>494</v>
      </c>
      <c r="D1136">
        <v>-5.3920000000000003</v>
      </c>
    </row>
    <row r="1137" spans="1:4" x14ac:dyDescent="0.25">
      <c r="A1137" t="s">
        <v>46</v>
      </c>
      <c r="B1137" t="s">
        <v>41</v>
      </c>
      <c r="C1137" t="s">
        <v>486</v>
      </c>
      <c r="D1137">
        <v>-5.4539999999999997</v>
      </c>
    </row>
    <row r="1138" spans="1:4" x14ac:dyDescent="0.25">
      <c r="A1138" t="s">
        <v>46</v>
      </c>
      <c r="B1138" t="s">
        <v>41</v>
      </c>
      <c r="C1138" t="s">
        <v>487</v>
      </c>
      <c r="D1138">
        <v>-5.1520000000000001</v>
      </c>
    </row>
    <row r="1139" spans="1:4" x14ac:dyDescent="0.25">
      <c r="A1139" t="s">
        <v>46</v>
      </c>
      <c r="B1139" t="s">
        <v>41</v>
      </c>
      <c r="C1139" t="s">
        <v>493</v>
      </c>
      <c r="D1139">
        <v>-5.01</v>
      </c>
    </row>
    <row r="1140" spans="1:4" x14ac:dyDescent="0.25">
      <c r="A1140" t="s">
        <v>46</v>
      </c>
      <c r="B1140" t="s">
        <v>41</v>
      </c>
      <c r="C1140" t="s">
        <v>495</v>
      </c>
      <c r="D1140">
        <v>-5.6070000000000002</v>
      </c>
    </row>
    <row r="1141" spans="1:4" x14ac:dyDescent="0.25">
      <c r="A1141" t="s">
        <v>46</v>
      </c>
      <c r="B1141" t="s">
        <v>41</v>
      </c>
      <c r="C1141" t="s">
        <v>496</v>
      </c>
      <c r="D1141">
        <v>-5.8049999999999997</v>
      </c>
    </row>
    <row r="1142" spans="1:4" x14ac:dyDescent="0.25">
      <c r="A1142" t="s">
        <v>46</v>
      </c>
      <c r="B1142" t="s">
        <v>41</v>
      </c>
      <c r="C1142" t="s">
        <v>497</v>
      </c>
      <c r="D1142">
        <v>-6.53</v>
      </c>
    </row>
    <row r="1143" spans="1:4" x14ac:dyDescent="0.25">
      <c r="A1143" t="s">
        <v>46</v>
      </c>
      <c r="B1143" t="s">
        <v>41</v>
      </c>
      <c r="C1143" t="s">
        <v>498</v>
      </c>
      <c r="D1143">
        <v>-7.2709999999999999</v>
      </c>
    </row>
    <row r="1144" spans="1:4" x14ac:dyDescent="0.25">
      <c r="A1144" t="s">
        <v>46</v>
      </c>
      <c r="B1144" t="s">
        <v>41</v>
      </c>
      <c r="C1144" t="s">
        <v>499</v>
      </c>
      <c r="D1144">
        <v>-7.9649999999999999</v>
      </c>
    </row>
    <row r="1145" spans="1:4" x14ac:dyDescent="0.25">
      <c r="A1145" t="s">
        <v>46</v>
      </c>
      <c r="B1145" t="s">
        <v>5</v>
      </c>
      <c r="C1145" t="s">
        <v>492</v>
      </c>
      <c r="D1145">
        <v>2.246</v>
      </c>
    </row>
    <row r="1146" spans="1:4" x14ac:dyDescent="0.25">
      <c r="A1146" t="s">
        <v>46</v>
      </c>
      <c r="B1146" t="s">
        <v>5</v>
      </c>
      <c r="C1146" t="s">
        <v>483</v>
      </c>
      <c r="D1146">
        <v>2.6080000000000001</v>
      </c>
    </row>
    <row r="1147" spans="1:4" x14ac:dyDescent="0.25">
      <c r="A1147" t="s">
        <v>46</v>
      </c>
      <c r="B1147" t="s">
        <v>5</v>
      </c>
      <c r="C1147" t="s">
        <v>494</v>
      </c>
      <c r="D1147">
        <v>2.722</v>
      </c>
    </row>
    <row r="1148" spans="1:4" x14ac:dyDescent="0.25">
      <c r="A1148" t="s">
        <v>46</v>
      </c>
      <c r="B1148" t="s">
        <v>5</v>
      </c>
      <c r="C1148" t="s">
        <v>486</v>
      </c>
      <c r="D1148">
        <v>2.7320000000000002</v>
      </c>
    </row>
    <row r="1149" spans="1:4" x14ac:dyDescent="0.25">
      <c r="A1149" t="s">
        <v>46</v>
      </c>
      <c r="B1149" t="s">
        <v>5</v>
      </c>
      <c r="C1149" t="s">
        <v>487</v>
      </c>
      <c r="D1149">
        <v>2.61</v>
      </c>
    </row>
    <row r="1150" spans="1:4" x14ac:dyDescent="0.25">
      <c r="A1150" t="s">
        <v>46</v>
      </c>
      <c r="B1150" t="s">
        <v>5</v>
      </c>
      <c r="C1150" t="s">
        <v>493</v>
      </c>
      <c r="D1150">
        <v>2.6120000000000001</v>
      </c>
    </row>
    <row r="1151" spans="1:4" x14ac:dyDescent="0.25">
      <c r="A1151" t="s">
        <v>46</v>
      </c>
      <c r="B1151" t="s">
        <v>5</v>
      </c>
      <c r="C1151" t="s">
        <v>495</v>
      </c>
      <c r="D1151">
        <v>2.7349999999999999</v>
      </c>
    </row>
    <row r="1152" spans="1:4" x14ac:dyDescent="0.25">
      <c r="A1152" t="s">
        <v>46</v>
      </c>
      <c r="B1152" t="s">
        <v>5</v>
      </c>
      <c r="C1152" t="s">
        <v>496</v>
      </c>
      <c r="D1152">
        <v>2.7269999999999999</v>
      </c>
    </row>
    <row r="1153" spans="1:4" x14ac:dyDescent="0.25">
      <c r="A1153" t="s">
        <v>46</v>
      </c>
      <c r="B1153" t="s">
        <v>5</v>
      </c>
      <c r="C1153" t="s">
        <v>497</v>
      </c>
      <c r="D1153">
        <v>3.0089999999999999</v>
      </c>
    </row>
    <row r="1154" spans="1:4" x14ac:dyDescent="0.25">
      <c r="A1154" t="s">
        <v>46</v>
      </c>
      <c r="B1154" t="s">
        <v>5</v>
      </c>
      <c r="C1154" t="s">
        <v>498</v>
      </c>
      <c r="D1154">
        <v>2.9740000000000002</v>
      </c>
    </row>
    <row r="1155" spans="1:4" x14ac:dyDescent="0.25">
      <c r="A1155" t="s">
        <v>46</v>
      </c>
      <c r="B1155" t="s">
        <v>5</v>
      </c>
      <c r="C1155" t="s">
        <v>499</v>
      </c>
      <c r="D1155">
        <v>3.7530000000000001</v>
      </c>
    </row>
    <row r="1156" spans="1:4" x14ac:dyDescent="0.25">
      <c r="A1156" t="s">
        <v>46</v>
      </c>
      <c r="B1156" t="s">
        <v>21</v>
      </c>
      <c r="C1156" t="s">
        <v>492</v>
      </c>
      <c r="D1156">
        <v>0.19900000000000001</v>
      </c>
    </row>
    <row r="1157" spans="1:4" x14ac:dyDescent="0.25">
      <c r="A1157" t="s">
        <v>46</v>
      </c>
      <c r="B1157" t="s">
        <v>21</v>
      </c>
      <c r="C1157" t="s">
        <v>483</v>
      </c>
      <c r="D1157">
        <v>0.19700000000000001</v>
      </c>
    </row>
    <row r="1158" spans="1:4" x14ac:dyDescent="0.25">
      <c r="A1158" t="s">
        <v>46</v>
      </c>
      <c r="B1158" t="s">
        <v>21</v>
      </c>
      <c r="C1158" t="s">
        <v>494</v>
      </c>
      <c r="D1158">
        <v>0.19400000000000001</v>
      </c>
    </row>
    <row r="1159" spans="1:4" x14ac:dyDescent="0.25">
      <c r="A1159" t="s">
        <v>46</v>
      </c>
      <c r="B1159" t="s">
        <v>21</v>
      </c>
      <c r="C1159" t="s">
        <v>486</v>
      </c>
      <c r="D1159">
        <v>0.21199999999999999</v>
      </c>
    </row>
    <row r="1160" spans="1:4" x14ac:dyDescent="0.25">
      <c r="A1160" t="s">
        <v>46</v>
      </c>
      <c r="B1160" t="s">
        <v>21</v>
      </c>
      <c r="C1160" t="s">
        <v>487</v>
      </c>
      <c r="D1160">
        <v>0.20599999999999999</v>
      </c>
    </row>
    <row r="1161" spans="1:4" x14ac:dyDescent="0.25">
      <c r="A1161" t="s">
        <v>46</v>
      </c>
      <c r="B1161" t="s">
        <v>21</v>
      </c>
      <c r="C1161" t="s">
        <v>493</v>
      </c>
      <c r="D1161">
        <v>0.21099999999999999</v>
      </c>
    </row>
    <row r="1162" spans="1:4" x14ac:dyDescent="0.25">
      <c r="A1162" t="s">
        <v>46</v>
      </c>
      <c r="B1162" t="s">
        <v>21</v>
      </c>
      <c r="C1162" t="s">
        <v>495</v>
      </c>
      <c r="D1162">
        <v>0.223</v>
      </c>
    </row>
    <row r="1163" spans="1:4" x14ac:dyDescent="0.25">
      <c r="A1163" t="s">
        <v>46</v>
      </c>
      <c r="B1163" t="s">
        <v>21</v>
      </c>
      <c r="C1163" t="s">
        <v>496</v>
      </c>
      <c r="D1163">
        <v>0.193</v>
      </c>
    </row>
    <row r="1164" spans="1:4" x14ac:dyDescent="0.25">
      <c r="A1164" t="s">
        <v>46</v>
      </c>
      <c r="B1164" t="s">
        <v>21</v>
      </c>
      <c r="C1164" t="s">
        <v>497</v>
      </c>
      <c r="D1164">
        <v>0.21099999999999999</v>
      </c>
    </row>
    <row r="1165" spans="1:4" x14ac:dyDescent="0.25">
      <c r="A1165" t="s">
        <v>46</v>
      </c>
      <c r="B1165" t="s">
        <v>21</v>
      </c>
      <c r="C1165" t="s">
        <v>498</v>
      </c>
      <c r="D1165">
        <v>0.21299999999999999</v>
      </c>
    </row>
    <row r="1166" spans="1:4" x14ac:dyDescent="0.25">
      <c r="A1166" t="s">
        <v>46</v>
      </c>
      <c r="B1166" t="s">
        <v>21</v>
      </c>
      <c r="C1166" t="s">
        <v>499</v>
      </c>
      <c r="D1166">
        <v>0.21299999999999999</v>
      </c>
    </row>
    <row r="1167" spans="1:4" x14ac:dyDescent="0.25">
      <c r="A1167" t="s">
        <v>46</v>
      </c>
      <c r="B1167" t="s">
        <v>22</v>
      </c>
      <c r="C1167" t="s">
        <v>492</v>
      </c>
      <c r="D1167">
        <v>8.0000000000000002E-3</v>
      </c>
    </row>
    <row r="1168" spans="1:4" x14ac:dyDescent="0.25">
      <c r="A1168" t="s">
        <v>46</v>
      </c>
      <c r="B1168" t="s">
        <v>22</v>
      </c>
      <c r="C1168" t="s">
        <v>483</v>
      </c>
      <c r="D1168">
        <v>7.0000000000000001E-3</v>
      </c>
    </row>
    <row r="1169" spans="1:4" x14ac:dyDescent="0.25">
      <c r="A1169" t="s">
        <v>46</v>
      </c>
      <c r="B1169" t="s">
        <v>22</v>
      </c>
      <c r="C1169" t="s">
        <v>494</v>
      </c>
      <c r="D1169">
        <v>6.0000000000000001E-3</v>
      </c>
    </row>
    <row r="1170" spans="1:4" x14ac:dyDescent="0.25">
      <c r="A1170" t="s">
        <v>46</v>
      </c>
      <c r="B1170" t="s">
        <v>22</v>
      </c>
      <c r="C1170" t="s">
        <v>486</v>
      </c>
      <c r="D1170">
        <v>7.0000000000000001E-3</v>
      </c>
    </row>
    <row r="1171" spans="1:4" x14ac:dyDescent="0.25">
      <c r="A1171" t="s">
        <v>46</v>
      </c>
      <c r="B1171" t="s">
        <v>22</v>
      </c>
      <c r="C1171" t="s">
        <v>487</v>
      </c>
      <c r="D1171">
        <v>6.0000000000000001E-3</v>
      </c>
    </row>
    <row r="1172" spans="1:4" x14ac:dyDescent="0.25">
      <c r="A1172" t="s">
        <v>46</v>
      </c>
      <c r="B1172" t="s">
        <v>22</v>
      </c>
      <c r="C1172" t="s">
        <v>493</v>
      </c>
      <c r="D1172">
        <v>8.0000000000000002E-3</v>
      </c>
    </row>
    <row r="1173" spans="1:4" x14ac:dyDescent="0.25">
      <c r="A1173" t="s">
        <v>46</v>
      </c>
      <c r="B1173" t="s">
        <v>22</v>
      </c>
      <c r="C1173" t="s">
        <v>495</v>
      </c>
      <c r="D1173">
        <v>6.0000000000000001E-3</v>
      </c>
    </row>
    <row r="1174" spans="1:4" x14ac:dyDescent="0.25">
      <c r="A1174" t="s">
        <v>46</v>
      </c>
      <c r="B1174" t="s">
        <v>22</v>
      </c>
      <c r="C1174" t="s">
        <v>496</v>
      </c>
      <c r="D1174">
        <v>5.0000000000000001E-3</v>
      </c>
    </row>
    <row r="1175" spans="1:4" x14ac:dyDescent="0.25">
      <c r="A1175" t="s">
        <v>46</v>
      </c>
      <c r="B1175" t="s">
        <v>22</v>
      </c>
      <c r="C1175" t="s">
        <v>497</v>
      </c>
      <c r="D1175">
        <v>5.0000000000000001E-3</v>
      </c>
    </row>
    <row r="1176" spans="1:4" x14ac:dyDescent="0.25">
      <c r="A1176" t="s">
        <v>46</v>
      </c>
      <c r="B1176" t="s">
        <v>22</v>
      </c>
      <c r="C1176" t="s">
        <v>498</v>
      </c>
      <c r="D1176">
        <v>5.0000000000000001E-3</v>
      </c>
    </row>
    <row r="1177" spans="1:4" x14ac:dyDescent="0.25">
      <c r="A1177" t="s">
        <v>46</v>
      </c>
      <c r="B1177" t="s">
        <v>22</v>
      </c>
      <c r="C1177" t="s">
        <v>499</v>
      </c>
      <c r="D1177">
        <v>5.0000000000000001E-3</v>
      </c>
    </row>
    <row r="1178" spans="1:4" x14ac:dyDescent="0.25">
      <c r="A1178" t="s">
        <v>46</v>
      </c>
      <c r="B1178" t="s">
        <v>23</v>
      </c>
      <c r="C1178" t="s">
        <v>492</v>
      </c>
      <c r="D1178">
        <v>8.5000000000000006E-2</v>
      </c>
    </row>
    <row r="1179" spans="1:4" x14ac:dyDescent="0.25">
      <c r="A1179" t="s">
        <v>46</v>
      </c>
      <c r="B1179" t="s">
        <v>23</v>
      </c>
      <c r="C1179" t="s">
        <v>483</v>
      </c>
      <c r="D1179">
        <v>0.1</v>
      </c>
    </row>
    <row r="1180" spans="1:4" x14ac:dyDescent="0.25">
      <c r="A1180" t="s">
        <v>46</v>
      </c>
      <c r="B1180" t="s">
        <v>23</v>
      </c>
      <c r="C1180" t="s">
        <v>494</v>
      </c>
      <c r="D1180">
        <v>0.114</v>
      </c>
    </row>
    <row r="1181" spans="1:4" x14ac:dyDescent="0.25">
      <c r="A1181" t="s">
        <v>46</v>
      </c>
      <c r="B1181" t="s">
        <v>23</v>
      </c>
      <c r="C1181" t="s">
        <v>486</v>
      </c>
      <c r="D1181">
        <v>0.115</v>
      </c>
    </row>
    <row r="1182" spans="1:4" x14ac:dyDescent="0.25">
      <c r="A1182" t="s">
        <v>46</v>
      </c>
      <c r="B1182" t="s">
        <v>23</v>
      </c>
      <c r="C1182" t="s">
        <v>487</v>
      </c>
      <c r="D1182">
        <v>0.11</v>
      </c>
    </row>
    <row r="1183" spans="1:4" x14ac:dyDescent="0.25">
      <c r="A1183" t="s">
        <v>46</v>
      </c>
      <c r="B1183" t="s">
        <v>23</v>
      </c>
      <c r="C1183" t="s">
        <v>493</v>
      </c>
      <c r="D1183">
        <v>0.105</v>
      </c>
    </row>
    <row r="1184" spans="1:4" x14ac:dyDescent="0.25">
      <c r="A1184" t="s">
        <v>46</v>
      </c>
      <c r="B1184" t="s">
        <v>23</v>
      </c>
      <c r="C1184" t="s">
        <v>495</v>
      </c>
      <c r="D1184">
        <v>0.12</v>
      </c>
    </row>
    <row r="1185" spans="1:4" x14ac:dyDescent="0.25">
      <c r="A1185" t="s">
        <v>46</v>
      </c>
      <c r="B1185" t="s">
        <v>23</v>
      </c>
      <c r="C1185" t="s">
        <v>496</v>
      </c>
      <c r="D1185">
        <v>0.12</v>
      </c>
    </row>
    <row r="1186" spans="1:4" x14ac:dyDescent="0.25">
      <c r="A1186" t="s">
        <v>46</v>
      </c>
      <c r="B1186" t="s">
        <v>23</v>
      </c>
      <c r="C1186" t="s">
        <v>497</v>
      </c>
      <c r="D1186">
        <v>0.13300000000000001</v>
      </c>
    </row>
    <row r="1187" spans="1:4" x14ac:dyDescent="0.25">
      <c r="A1187" t="s">
        <v>46</v>
      </c>
      <c r="B1187" t="s">
        <v>23</v>
      </c>
      <c r="C1187" t="s">
        <v>498</v>
      </c>
      <c r="D1187">
        <v>0.13</v>
      </c>
    </row>
    <row r="1188" spans="1:4" x14ac:dyDescent="0.25">
      <c r="A1188" t="s">
        <v>46</v>
      </c>
      <c r="B1188" t="s">
        <v>23</v>
      </c>
      <c r="C1188" t="s">
        <v>499</v>
      </c>
      <c r="D1188">
        <v>0.14000000000000001</v>
      </c>
    </row>
    <row r="1189" spans="1:4" x14ac:dyDescent="0.25">
      <c r="A1189" t="s">
        <v>46</v>
      </c>
      <c r="B1189" t="s">
        <v>615</v>
      </c>
      <c r="C1189" t="s">
        <v>479</v>
      </c>
      <c r="D1189">
        <v>2.5999999999999999E-2</v>
      </c>
    </row>
    <row r="1190" spans="1:4" x14ac:dyDescent="0.25">
      <c r="A1190" t="s">
        <v>46</v>
      </c>
      <c r="B1190" t="s">
        <v>615</v>
      </c>
      <c r="C1190" t="s">
        <v>481</v>
      </c>
      <c r="D1190">
        <v>2.5999999999999999E-2</v>
      </c>
    </row>
    <row r="1191" spans="1:4" x14ac:dyDescent="0.25">
      <c r="A1191" t="s">
        <v>46</v>
      </c>
      <c r="B1191" t="s">
        <v>615</v>
      </c>
      <c r="C1191" t="s">
        <v>491</v>
      </c>
      <c r="D1191">
        <v>2.5000000000000001E-2</v>
      </c>
    </row>
    <row r="1192" spans="1:4" x14ac:dyDescent="0.25">
      <c r="A1192" t="s">
        <v>46</v>
      </c>
      <c r="B1192" t="s">
        <v>615</v>
      </c>
      <c r="C1192" t="s">
        <v>492</v>
      </c>
      <c r="D1192">
        <v>2.9000000000000001E-2</v>
      </c>
    </row>
    <row r="1193" spans="1:4" x14ac:dyDescent="0.25">
      <c r="A1193" t="s">
        <v>46</v>
      </c>
      <c r="B1193" t="s">
        <v>615</v>
      </c>
      <c r="C1193" t="s">
        <v>483</v>
      </c>
      <c r="D1193">
        <v>2.9000000000000001E-2</v>
      </c>
    </row>
    <row r="1194" spans="1:4" x14ac:dyDescent="0.25">
      <c r="A1194" t="s">
        <v>46</v>
      </c>
      <c r="B1194" t="s">
        <v>615</v>
      </c>
      <c r="C1194" t="s">
        <v>494</v>
      </c>
      <c r="D1194">
        <v>0.03</v>
      </c>
    </row>
    <row r="1195" spans="1:4" x14ac:dyDescent="0.25">
      <c r="A1195" t="s">
        <v>46</v>
      </c>
      <c r="B1195" t="s">
        <v>615</v>
      </c>
      <c r="C1195" t="s">
        <v>486</v>
      </c>
      <c r="D1195">
        <v>2.9000000000000001E-2</v>
      </c>
    </row>
    <row r="1196" spans="1:4" x14ac:dyDescent="0.25">
      <c r="A1196" t="s">
        <v>46</v>
      </c>
      <c r="B1196" t="s">
        <v>615</v>
      </c>
      <c r="C1196" t="s">
        <v>487</v>
      </c>
      <c r="D1196">
        <v>1.4E-2</v>
      </c>
    </row>
    <row r="1197" spans="1:4" x14ac:dyDescent="0.25">
      <c r="A1197" t="s">
        <v>46</v>
      </c>
      <c r="B1197" t="s">
        <v>615</v>
      </c>
      <c r="C1197" t="s">
        <v>493</v>
      </c>
      <c r="D1197">
        <v>3.2000000000000001E-2</v>
      </c>
    </row>
    <row r="1198" spans="1:4" x14ac:dyDescent="0.25">
      <c r="A1198" t="s">
        <v>46</v>
      </c>
      <c r="B1198" t="s">
        <v>615</v>
      </c>
      <c r="C1198" t="s">
        <v>495</v>
      </c>
      <c r="D1198">
        <v>2.3E-2</v>
      </c>
    </row>
    <row r="1199" spans="1:4" x14ac:dyDescent="0.25">
      <c r="A1199" t="s">
        <v>46</v>
      </c>
      <c r="B1199" t="s">
        <v>615</v>
      </c>
      <c r="C1199" t="s">
        <v>496</v>
      </c>
      <c r="D1199">
        <v>2.5000000000000001E-2</v>
      </c>
    </row>
    <row r="1200" spans="1:4" x14ac:dyDescent="0.25">
      <c r="A1200" t="s">
        <v>46</v>
      </c>
      <c r="B1200" t="s">
        <v>615</v>
      </c>
      <c r="C1200" t="s">
        <v>497</v>
      </c>
      <c r="D1200">
        <v>2.5000000000000001E-2</v>
      </c>
    </row>
    <row r="1201" spans="1:4" x14ac:dyDescent="0.25">
      <c r="A1201" t="s">
        <v>46</v>
      </c>
      <c r="B1201" t="s">
        <v>615</v>
      </c>
      <c r="C1201" t="s">
        <v>498</v>
      </c>
      <c r="D1201">
        <v>0.04</v>
      </c>
    </row>
    <row r="1202" spans="1:4" x14ac:dyDescent="0.25">
      <c r="A1202" t="s">
        <v>46</v>
      </c>
      <c r="B1202" t="s">
        <v>615</v>
      </c>
      <c r="C1202" t="s">
        <v>499</v>
      </c>
      <c r="D1202">
        <v>0.04</v>
      </c>
    </row>
    <row r="1203" spans="1:4" x14ac:dyDescent="0.25">
      <c r="A1203" t="s">
        <v>46</v>
      </c>
      <c r="B1203" t="s">
        <v>24</v>
      </c>
      <c r="C1203" t="s">
        <v>492</v>
      </c>
      <c r="D1203">
        <v>0.877</v>
      </c>
    </row>
    <row r="1204" spans="1:4" x14ac:dyDescent="0.25">
      <c r="A1204" t="s">
        <v>46</v>
      </c>
      <c r="B1204" t="s">
        <v>24</v>
      </c>
      <c r="C1204" t="s">
        <v>483</v>
      </c>
      <c r="D1204">
        <v>1.03</v>
      </c>
    </row>
    <row r="1205" spans="1:4" x14ac:dyDescent="0.25">
      <c r="A1205" t="s">
        <v>46</v>
      </c>
      <c r="B1205" t="s">
        <v>24</v>
      </c>
      <c r="C1205" t="s">
        <v>494</v>
      </c>
      <c r="D1205">
        <v>1.139</v>
      </c>
    </row>
    <row r="1206" spans="1:4" x14ac:dyDescent="0.25">
      <c r="A1206" t="s">
        <v>46</v>
      </c>
      <c r="B1206" t="s">
        <v>24</v>
      </c>
      <c r="C1206" t="s">
        <v>486</v>
      </c>
      <c r="D1206">
        <v>1.153</v>
      </c>
    </row>
    <row r="1207" spans="1:4" x14ac:dyDescent="0.25">
      <c r="A1207" t="s">
        <v>46</v>
      </c>
      <c r="B1207" t="s">
        <v>24</v>
      </c>
      <c r="C1207" t="s">
        <v>487</v>
      </c>
      <c r="D1207">
        <v>1.0900000000000001</v>
      </c>
    </row>
    <row r="1208" spans="1:4" x14ac:dyDescent="0.25">
      <c r="A1208" t="s">
        <v>46</v>
      </c>
      <c r="B1208" t="s">
        <v>24</v>
      </c>
      <c r="C1208" t="s">
        <v>493</v>
      </c>
      <c r="D1208">
        <v>1.06</v>
      </c>
    </row>
    <row r="1209" spans="1:4" x14ac:dyDescent="0.25">
      <c r="A1209" t="s">
        <v>46</v>
      </c>
      <c r="B1209" t="s">
        <v>24</v>
      </c>
      <c r="C1209" t="s">
        <v>495</v>
      </c>
      <c r="D1209">
        <v>1.1839999999999999</v>
      </c>
    </row>
    <row r="1210" spans="1:4" x14ac:dyDescent="0.25">
      <c r="A1210" t="s">
        <v>46</v>
      </c>
      <c r="B1210" t="s">
        <v>24</v>
      </c>
      <c r="C1210" t="s">
        <v>496</v>
      </c>
      <c r="D1210">
        <v>1.2250000000000001</v>
      </c>
    </row>
    <row r="1211" spans="1:4" x14ac:dyDescent="0.25">
      <c r="A1211" t="s">
        <v>46</v>
      </c>
      <c r="B1211" t="s">
        <v>24</v>
      </c>
      <c r="C1211" t="s">
        <v>497</v>
      </c>
      <c r="D1211">
        <v>1.375</v>
      </c>
    </row>
    <row r="1212" spans="1:4" x14ac:dyDescent="0.25">
      <c r="A1212" t="s">
        <v>46</v>
      </c>
      <c r="B1212" t="s">
        <v>24</v>
      </c>
      <c r="C1212" t="s">
        <v>498</v>
      </c>
      <c r="D1212">
        <v>1.5289999999999999</v>
      </c>
    </row>
    <row r="1213" spans="1:4" x14ac:dyDescent="0.25">
      <c r="A1213" t="s">
        <v>46</v>
      </c>
      <c r="B1213" t="s">
        <v>24</v>
      </c>
      <c r="C1213" t="s">
        <v>499</v>
      </c>
      <c r="D1213">
        <v>1.673</v>
      </c>
    </row>
    <row r="1214" spans="1:4" x14ac:dyDescent="0.25">
      <c r="A1214" t="s">
        <v>46</v>
      </c>
      <c r="B1214" t="s">
        <v>25</v>
      </c>
      <c r="C1214" t="s">
        <v>492</v>
      </c>
      <c r="D1214">
        <v>0.09</v>
      </c>
    </row>
    <row r="1215" spans="1:4" x14ac:dyDescent="0.25">
      <c r="A1215" t="s">
        <v>46</v>
      </c>
      <c r="B1215" t="s">
        <v>25</v>
      </c>
      <c r="C1215" t="s">
        <v>483</v>
      </c>
      <c r="D1215">
        <v>0.53600000000000003</v>
      </c>
    </row>
    <row r="1216" spans="1:4" x14ac:dyDescent="0.25">
      <c r="A1216" t="s">
        <v>46</v>
      </c>
      <c r="B1216" t="s">
        <v>25</v>
      </c>
      <c r="C1216" t="s">
        <v>494</v>
      </c>
      <c r="D1216">
        <v>0.56399999999999995</v>
      </c>
    </row>
    <row r="1217" spans="1:4" x14ac:dyDescent="0.25">
      <c r="A1217" t="s">
        <v>46</v>
      </c>
      <c r="B1217" t="s">
        <v>25</v>
      </c>
      <c r="C1217" t="s">
        <v>486</v>
      </c>
      <c r="D1217">
        <v>0.48599999999999999</v>
      </c>
    </row>
    <row r="1218" spans="1:4" x14ac:dyDescent="0.25">
      <c r="A1218" t="s">
        <v>46</v>
      </c>
      <c r="B1218" t="s">
        <v>25</v>
      </c>
      <c r="C1218" t="s">
        <v>487</v>
      </c>
      <c r="D1218">
        <v>0.47899999999999998</v>
      </c>
    </row>
    <row r="1219" spans="1:4" x14ac:dyDescent="0.25">
      <c r="A1219" t="s">
        <v>46</v>
      </c>
      <c r="B1219" t="s">
        <v>25</v>
      </c>
      <c r="C1219" t="s">
        <v>493</v>
      </c>
      <c r="D1219">
        <v>0.38900000000000001</v>
      </c>
    </row>
    <row r="1220" spans="1:4" x14ac:dyDescent="0.25">
      <c r="A1220" t="s">
        <v>46</v>
      </c>
      <c r="B1220" t="s">
        <v>25</v>
      </c>
      <c r="C1220" t="s">
        <v>495</v>
      </c>
      <c r="D1220">
        <v>0.498</v>
      </c>
    </row>
    <row r="1221" spans="1:4" x14ac:dyDescent="0.25">
      <c r="A1221" t="s">
        <v>46</v>
      </c>
      <c r="B1221" t="s">
        <v>25</v>
      </c>
      <c r="C1221" t="s">
        <v>496</v>
      </c>
      <c r="D1221">
        <v>0.53600000000000003</v>
      </c>
    </row>
    <row r="1222" spans="1:4" x14ac:dyDescent="0.25">
      <c r="A1222" t="s">
        <v>46</v>
      </c>
      <c r="B1222" t="s">
        <v>25</v>
      </c>
      <c r="C1222" t="s">
        <v>497</v>
      </c>
      <c r="D1222">
        <v>0.56399999999999995</v>
      </c>
    </row>
    <row r="1223" spans="1:4" x14ac:dyDescent="0.25">
      <c r="A1223" t="s">
        <v>46</v>
      </c>
      <c r="B1223" t="s">
        <v>25</v>
      </c>
      <c r="C1223" t="s">
        <v>498</v>
      </c>
      <c r="D1223">
        <v>0.35499999999999998</v>
      </c>
    </row>
    <row r="1224" spans="1:4" x14ac:dyDescent="0.25">
      <c r="A1224" t="s">
        <v>46</v>
      </c>
      <c r="B1224" t="s">
        <v>25</v>
      </c>
      <c r="C1224" t="s">
        <v>499</v>
      </c>
      <c r="D1224">
        <v>1.4</v>
      </c>
    </row>
    <row r="1225" spans="1:4" x14ac:dyDescent="0.25">
      <c r="A1225" t="s">
        <v>46</v>
      </c>
      <c r="B1225" t="s">
        <v>616</v>
      </c>
      <c r="C1225" t="s">
        <v>479</v>
      </c>
      <c r="D1225">
        <v>0.88</v>
      </c>
    </row>
    <row r="1226" spans="1:4" x14ac:dyDescent="0.25">
      <c r="A1226" t="s">
        <v>46</v>
      </c>
      <c r="B1226" t="s">
        <v>616</v>
      </c>
      <c r="C1226" t="s">
        <v>481</v>
      </c>
      <c r="D1226">
        <v>0.88</v>
      </c>
    </row>
    <row r="1227" spans="1:4" x14ac:dyDescent="0.25">
      <c r="A1227" t="s">
        <v>46</v>
      </c>
      <c r="B1227" t="s">
        <v>616</v>
      </c>
      <c r="C1227" t="s">
        <v>491</v>
      </c>
      <c r="D1227">
        <v>1.1000000000000001</v>
      </c>
    </row>
    <row r="1228" spans="1:4" x14ac:dyDescent="0.25">
      <c r="A1228" t="s">
        <v>46</v>
      </c>
      <c r="B1228" t="s">
        <v>616</v>
      </c>
      <c r="C1228" t="s">
        <v>492</v>
      </c>
      <c r="D1228">
        <v>0.99</v>
      </c>
    </row>
    <row r="1229" spans="1:4" x14ac:dyDescent="0.25">
      <c r="A1229" t="s">
        <v>46</v>
      </c>
      <c r="B1229" t="s">
        <v>616</v>
      </c>
      <c r="C1229" t="s">
        <v>483</v>
      </c>
      <c r="D1229">
        <v>0.86</v>
      </c>
    </row>
    <row r="1230" spans="1:4" x14ac:dyDescent="0.25">
      <c r="A1230" t="s">
        <v>46</v>
      </c>
      <c r="B1230" t="s">
        <v>616</v>
      </c>
      <c r="C1230" t="s">
        <v>494</v>
      </c>
      <c r="D1230">
        <v>0.75</v>
      </c>
    </row>
    <row r="1231" spans="1:4" x14ac:dyDescent="0.25">
      <c r="A1231" t="s">
        <v>46</v>
      </c>
      <c r="B1231" t="s">
        <v>616</v>
      </c>
      <c r="C1231" t="s">
        <v>486</v>
      </c>
      <c r="D1231">
        <v>0.47</v>
      </c>
    </row>
    <row r="1232" spans="1:4" x14ac:dyDescent="0.25">
      <c r="A1232" t="s">
        <v>46</v>
      </c>
      <c r="B1232" t="s">
        <v>616</v>
      </c>
      <c r="C1232" t="s">
        <v>487</v>
      </c>
      <c r="D1232">
        <v>0.55000000000000004</v>
      </c>
    </row>
    <row r="1233" spans="1:4" x14ac:dyDescent="0.25">
      <c r="A1233" t="s">
        <v>46</v>
      </c>
      <c r="B1233" t="s">
        <v>616</v>
      </c>
      <c r="C1233" t="s">
        <v>493</v>
      </c>
      <c r="D1233">
        <v>0.62</v>
      </c>
    </row>
    <row r="1234" spans="1:4" x14ac:dyDescent="0.25">
      <c r="A1234" t="s">
        <v>46</v>
      </c>
      <c r="B1234" t="s">
        <v>616</v>
      </c>
      <c r="C1234" t="s">
        <v>495</v>
      </c>
      <c r="D1234">
        <v>0.28000000000000003</v>
      </c>
    </row>
    <row r="1235" spans="1:4" x14ac:dyDescent="0.25">
      <c r="A1235" t="s">
        <v>46</v>
      </c>
      <c r="B1235" t="s">
        <v>616</v>
      </c>
      <c r="C1235" t="s">
        <v>496</v>
      </c>
      <c r="D1235">
        <v>0.62</v>
      </c>
    </row>
    <row r="1236" spans="1:4" x14ac:dyDescent="0.25">
      <c r="A1236" t="s">
        <v>46</v>
      </c>
      <c r="B1236" t="s">
        <v>616</v>
      </c>
      <c r="C1236" t="s">
        <v>497</v>
      </c>
      <c r="D1236">
        <v>0.62</v>
      </c>
    </row>
    <row r="1237" spans="1:4" x14ac:dyDescent="0.25">
      <c r="A1237" t="s">
        <v>46</v>
      </c>
      <c r="B1237" t="s">
        <v>616</v>
      </c>
      <c r="C1237" t="s">
        <v>498</v>
      </c>
      <c r="D1237">
        <v>0.27</v>
      </c>
    </row>
    <row r="1238" spans="1:4" x14ac:dyDescent="0.25">
      <c r="A1238" t="s">
        <v>46</v>
      </c>
      <c r="B1238" t="s">
        <v>616</v>
      </c>
      <c r="C1238" t="s">
        <v>499</v>
      </c>
      <c r="D1238">
        <v>0.27</v>
      </c>
    </row>
    <row r="1239" spans="1:4" x14ac:dyDescent="0.25">
      <c r="A1239" t="s">
        <v>47</v>
      </c>
      <c r="B1239" t="s">
        <v>41</v>
      </c>
      <c r="C1239" t="s">
        <v>492</v>
      </c>
      <c r="D1239">
        <v>-4.5380000000000003</v>
      </c>
    </row>
    <row r="1240" spans="1:4" x14ac:dyDescent="0.25">
      <c r="A1240" t="s">
        <v>47</v>
      </c>
      <c r="B1240" t="s">
        <v>41</v>
      </c>
      <c r="C1240" t="s">
        <v>483</v>
      </c>
      <c r="D1240">
        <v>-5.3860000000000001</v>
      </c>
    </row>
    <row r="1241" spans="1:4" x14ac:dyDescent="0.25">
      <c r="A1241" t="s">
        <v>47</v>
      </c>
      <c r="B1241" t="s">
        <v>41</v>
      </c>
      <c r="C1241" t="s">
        <v>494</v>
      </c>
      <c r="D1241">
        <v>-5.99</v>
      </c>
    </row>
    <row r="1242" spans="1:4" x14ac:dyDescent="0.25">
      <c r="A1242" t="s">
        <v>47</v>
      </c>
      <c r="B1242" t="s">
        <v>41</v>
      </c>
      <c r="C1242" t="s">
        <v>486</v>
      </c>
      <c r="D1242">
        <v>-6.1180000000000003</v>
      </c>
    </row>
    <row r="1243" spans="1:4" x14ac:dyDescent="0.25">
      <c r="A1243" t="s">
        <v>47</v>
      </c>
      <c r="B1243" t="s">
        <v>41</v>
      </c>
      <c r="C1243" t="s">
        <v>487</v>
      </c>
      <c r="D1243">
        <v>-5.7510000000000003</v>
      </c>
    </row>
    <row r="1244" spans="1:4" x14ac:dyDescent="0.25">
      <c r="A1244" t="s">
        <v>47</v>
      </c>
      <c r="B1244" t="s">
        <v>41</v>
      </c>
      <c r="C1244" t="s">
        <v>493</v>
      </c>
      <c r="D1244">
        <v>-5.5650000000000004</v>
      </c>
    </row>
    <row r="1245" spans="1:4" x14ac:dyDescent="0.25">
      <c r="A1245" t="s">
        <v>47</v>
      </c>
      <c r="B1245" t="s">
        <v>41</v>
      </c>
      <c r="C1245" t="s">
        <v>495</v>
      </c>
      <c r="D1245">
        <v>-6.6689999999999996</v>
      </c>
    </row>
    <row r="1246" spans="1:4" x14ac:dyDescent="0.25">
      <c r="A1246" t="s">
        <v>47</v>
      </c>
      <c r="B1246" t="s">
        <v>41</v>
      </c>
      <c r="C1246" t="s">
        <v>496</v>
      </c>
      <c r="D1246">
        <v>-6.5350000000000001</v>
      </c>
    </row>
    <row r="1247" spans="1:4" x14ac:dyDescent="0.25">
      <c r="A1247" t="s">
        <v>47</v>
      </c>
      <c r="B1247" t="s">
        <v>41</v>
      </c>
      <c r="C1247" t="s">
        <v>497</v>
      </c>
      <c r="D1247">
        <v>-7.2080000000000002</v>
      </c>
    </row>
    <row r="1248" spans="1:4" x14ac:dyDescent="0.25">
      <c r="A1248" t="s">
        <v>47</v>
      </c>
      <c r="B1248" t="s">
        <v>41</v>
      </c>
      <c r="C1248" t="s">
        <v>498</v>
      </c>
      <c r="D1248">
        <v>-8.0950000000000006</v>
      </c>
    </row>
    <row r="1249" spans="1:4" x14ac:dyDescent="0.25">
      <c r="A1249" t="s">
        <v>47</v>
      </c>
      <c r="B1249" t="s">
        <v>41</v>
      </c>
      <c r="C1249" t="s">
        <v>499</v>
      </c>
      <c r="D1249">
        <v>-9.1159999999999997</v>
      </c>
    </row>
    <row r="1250" spans="1:4" x14ac:dyDescent="0.25">
      <c r="A1250" t="s">
        <v>47</v>
      </c>
      <c r="B1250" t="s">
        <v>5</v>
      </c>
      <c r="C1250" t="s">
        <v>492</v>
      </c>
      <c r="D1250">
        <v>2.5</v>
      </c>
    </row>
    <row r="1251" spans="1:4" x14ac:dyDescent="0.25">
      <c r="A1251" t="s">
        <v>47</v>
      </c>
      <c r="B1251" t="s">
        <v>5</v>
      </c>
      <c r="C1251" t="s">
        <v>483</v>
      </c>
      <c r="D1251">
        <v>2.65</v>
      </c>
    </row>
    <row r="1252" spans="1:4" x14ac:dyDescent="0.25">
      <c r="A1252" t="s">
        <v>47</v>
      </c>
      <c r="B1252" t="s">
        <v>5</v>
      </c>
      <c r="C1252" t="s">
        <v>494</v>
      </c>
      <c r="D1252">
        <v>2.8149999999999999</v>
      </c>
    </row>
    <row r="1253" spans="1:4" x14ac:dyDescent="0.25">
      <c r="A1253" t="s">
        <v>47</v>
      </c>
      <c r="B1253" t="s">
        <v>5</v>
      </c>
      <c r="C1253" t="s">
        <v>486</v>
      </c>
      <c r="D1253">
        <v>2.895</v>
      </c>
    </row>
    <row r="1254" spans="1:4" x14ac:dyDescent="0.25">
      <c r="A1254" t="s">
        <v>47</v>
      </c>
      <c r="B1254" t="s">
        <v>5</v>
      </c>
      <c r="C1254" t="s">
        <v>487</v>
      </c>
      <c r="D1254">
        <v>2.74</v>
      </c>
    </row>
    <row r="1255" spans="1:4" x14ac:dyDescent="0.25">
      <c r="A1255" t="s">
        <v>47</v>
      </c>
      <c r="B1255" t="s">
        <v>5</v>
      </c>
      <c r="C1255" t="s">
        <v>493</v>
      </c>
      <c r="D1255">
        <v>2.7370000000000001</v>
      </c>
    </row>
    <row r="1256" spans="1:4" x14ac:dyDescent="0.25">
      <c r="A1256" t="s">
        <v>47</v>
      </c>
      <c r="B1256" t="s">
        <v>5</v>
      </c>
      <c r="C1256" t="s">
        <v>495</v>
      </c>
      <c r="D1256">
        <v>3.0449999999999999</v>
      </c>
    </row>
    <row r="1257" spans="1:4" x14ac:dyDescent="0.25">
      <c r="A1257" t="s">
        <v>47</v>
      </c>
      <c r="B1257" t="s">
        <v>5</v>
      </c>
      <c r="C1257" t="s">
        <v>496</v>
      </c>
      <c r="D1257">
        <v>2.8690000000000002</v>
      </c>
    </row>
    <row r="1258" spans="1:4" x14ac:dyDescent="0.25">
      <c r="A1258" t="s">
        <v>47</v>
      </c>
      <c r="B1258" t="s">
        <v>5</v>
      </c>
      <c r="C1258" t="s">
        <v>497</v>
      </c>
      <c r="D1258">
        <v>3.1110000000000002</v>
      </c>
    </row>
    <row r="1259" spans="1:4" x14ac:dyDescent="0.25">
      <c r="A1259" t="s">
        <v>47</v>
      </c>
      <c r="B1259" t="s">
        <v>5</v>
      </c>
      <c r="C1259" t="s">
        <v>498</v>
      </c>
      <c r="D1259">
        <v>3.3639999999999999</v>
      </c>
    </row>
    <row r="1260" spans="1:4" x14ac:dyDescent="0.25">
      <c r="A1260" t="s">
        <v>47</v>
      </c>
      <c r="B1260" t="s">
        <v>5</v>
      </c>
      <c r="C1260" t="s">
        <v>499</v>
      </c>
      <c r="D1260">
        <v>3.7349999999999999</v>
      </c>
    </row>
    <row r="1261" spans="1:4" x14ac:dyDescent="0.25">
      <c r="A1261" t="s">
        <v>47</v>
      </c>
      <c r="B1261" t="s">
        <v>21</v>
      </c>
      <c r="C1261" t="s">
        <v>492</v>
      </c>
      <c r="D1261">
        <v>0.23499999999999999</v>
      </c>
    </row>
    <row r="1262" spans="1:4" x14ac:dyDescent="0.25">
      <c r="A1262" t="s">
        <v>47</v>
      </c>
      <c r="B1262" t="s">
        <v>21</v>
      </c>
      <c r="C1262" t="s">
        <v>483</v>
      </c>
      <c r="D1262">
        <v>0.23699999999999999</v>
      </c>
    </row>
    <row r="1263" spans="1:4" x14ac:dyDescent="0.25">
      <c r="A1263" t="s">
        <v>47</v>
      </c>
      <c r="B1263" t="s">
        <v>21</v>
      </c>
      <c r="C1263" t="s">
        <v>494</v>
      </c>
      <c r="D1263">
        <v>0.24099999999999999</v>
      </c>
    </row>
    <row r="1264" spans="1:4" x14ac:dyDescent="0.25">
      <c r="A1264" t="s">
        <v>47</v>
      </c>
      <c r="B1264" t="s">
        <v>21</v>
      </c>
      <c r="C1264" t="s">
        <v>486</v>
      </c>
      <c r="D1264">
        <v>0.24</v>
      </c>
    </row>
    <row r="1265" spans="1:4" x14ac:dyDescent="0.25">
      <c r="A1265" t="s">
        <v>47</v>
      </c>
      <c r="B1265" t="s">
        <v>21</v>
      </c>
      <c r="C1265" t="s">
        <v>487</v>
      </c>
      <c r="D1265">
        <v>0.23899999999999999</v>
      </c>
    </row>
    <row r="1266" spans="1:4" x14ac:dyDescent="0.25">
      <c r="A1266" t="s">
        <v>47</v>
      </c>
      <c r="B1266" t="s">
        <v>21</v>
      </c>
      <c r="C1266" t="s">
        <v>493</v>
      </c>
      <c r="D1266">
        <v>0.23499999999999999</v>
      </c>
    </row>
    <row r="1267" spans="1:4" x14ac:dyDescent="0.25">
      <c r="A1267" t="s">
        <v>47</v>
      </c>
      <c r="B1267" t="s">
        <v>21</v>
      </c>
      <c r="C1267" t="s">
        <v>495</v>
      </c>
      <c r="D1267">
        <v>0.247</v>
      </c>
    </row>
    <row r="1268" spans="1:4" x14ac:dyDescent="0.25">
      <c r="A1268" t="s">
        <v>47</v>
      </c>
      <c r="B1268" t="s">
        <v>21</v>
      </c>
      <c r="C1268" t="s">
        <v>496</v>
      </c>
      <c r="D1268">
        <v>0.24099999999999999</v>
      </c>
    </row>
    <row r="1269" spans="1:4" x14ac:dyDescent="0.25">
      <c r="A1269" t="s">
        <v>47</v>
      </c>
      <c r="B1269" t="s">
        <v>21</v>
      </c>
      <c r="C1269" t="s">
        <v>497</v>
      </c>
      <c r="D1269">
        <v>0.24099999999999999</v>
      </c>
    </row>
    <row r="1270" spans="1:4" x14ac:dyDescent="0.25">
      <c r="A1270" t="s">
        <v>47</v>
      </c>
      <c r="B1270" t="s">
        <v>21</v>
      </c>
      <c r="C1270" t="s">
        <v>498</v>
      </c>
      <c r="D1270">
        <v>0.247</v>
      </c>
    </row>
    <row r="1271" spans="1:4" x14ac:dyDescent="0.25">
      <c r="A1271" t="s">
        <v>47</v>
      </c>
      <c r="B1271" t="s">
        <v>21</v>
      </c>
      <c r="C1271" t="s">
        <v>499</v>
      </c>
      <c r="D1271">
        <v>0.247</v>
      </c>
    </row>
    <row r="1272" spans="1:4" x14ac:dyDescent="0.25">
      <c r="A1272" t="s">
        <v>47</v>
      </c>
      <c r="B1272" t="s">
        <v>22</v>
      </c>
      <c r="C1272" t="s">
        <v>492</v>
      </c>
      <c r="D1272">
        <v>8.0000000000000002E-3</v>
      </c>
    </row>
    <row r="1273" spans="1:4" x14ac:dyDescent="0.25">
      <c r="A1273" t="s">
        <v>47</v>
      </c>
      <c r="B1273" t="s">
        <v>22</v>
      </c>
      <c r="C1273" t="s">
        <v>483</v>
      </c>
      <c r="D1273">
        <v>7.0000000000000001E-3</v>
      </c>
    </row>
    <row r="1274" spans="1:4" x14ac:dyDescent="0.25">
      <c r="A1274" t="s">
        <v>47</v>
      </c>
      <c r="B1274" t="s">
        <v>22</v>
      </c>
      <c r="C1274" t="s">
        <v>494</v>
      </c>
      <c r="D1274">
        <v>6.0000000000000001E-3</v>
      </c>
    </row>
    <row r="1275" spans="1:4" x14ac:dyDescent="0.25">
      <c r="A1275" t="s">
        <v>47</v>
      </c>
      <c r="B1275" t="s">
        <v>22</v>
      </c>
      <c r="C1275" t="s">
        <v>486</v>
      </c>
      <c r="D1275">
        <v>7.0000000000000001E-3</v>
      </c>
    </row>
    <row r="1276" spans="1:4" x14ac:dyDescent="0.25">
      <c r="A1276" t="s">
        <v>47</v>
      </c>
      <c r="B1276" t="s">
        <v>22</v>
      </c>
      <c r="C1276" t="s">
        <v>487</v>
      </c>
      <c r="D1276">
        <v>6.0000000000000001E-3</v>
      </c>
    </row>
    <row r="1277" spans="1:4" x14ac:dyDescent="0.25">
      <c r="A1277" t="s">
        <v>47</v>
      </c>
      <c r="B1277" t="s">
        <v>22</v>
      </c>
      <c r="C1277" t="s">
        <v>493</v>
      </c>
      <c r="D1277">
        <v>8.0000000000000002E-3</v>
      </c>
    </row>
    <row r="1278" spans="1:4" x14ac:dyDescent="0.25">
      <c r="A1278" t="s">
        <v>47</v>
      </c>
      <c r="B1278" t="s">
        <v>22</v>
      </c>
      <c r="C1278" t="s">
        <v>495</v>
      </c>
      <c r="D1278">
        <v>6.0000000000000001E-3</v>
      </c>
    </row>
    <row r="1279" spans="1:4" x14ac:dyDescent="0.25">
      <c r="A1279" t="s">
        <v>47</v>
      </c>
      <c r="B1279" t="s">
        <v>22</v>
      </c>
      <c r="C1279" t="s">
        <v>496</v>
      </c>
      <c r="D1279">
        <v>5.0000000000000001E-3</v>
      </c>
    </row>
    <row r="1280" spans="1:4" x14ac:dyDescent="0.25">
      <c r="A1280" t="s">
        <v>47</v>
      </c>
      <c r="B1280" t="s">
        <v>22</v>
      </c>
      <c r="C1280" t="s">
        <v>497</v>
      </c>
      <c r="D1280">
        <v>5.0000000000000001E-3</v>
      </c>
    </row>
    <row r="1281" spans="1:4" x14ac:dyDescent="0.25">
      <c r="A1281" t="s">
        <v>47</v>
      </c>
      <c r="B1281" t="s">
        <v>22</v>
      </c>
      <c r="C1281" t="s">
        <v>498</v>
      </c>
      <c r="D1281">
        <v>5.0000000000000001E-3</v>
      </c>
    </row>
    <row r="1282" spans="1:4" x14ac:dyDescent="0.25">
      <c r="A1282" t="s">
        <v>47</v>
      </c>
      <c r="B1282" t="s">
        <v>22</v>
      </c>
      <c r="C1282" t="s">
        <v>499</v>
      </c>
      <c r="D1282">
        <v>5.0000000000000001E-3</v>
      </c>
    </row>
    <row r="1283" spans="1:4" x14ac:dyDescent="0.25">
      <c r="A1283" t="s">
        <v>47</v>
      </c>
      <c r="B1283" t="s">
        <v>23</v>
      </c>
      <c r="C1283" t="s">
        <v>492</v>
      </c>
      <c r="D1283">
        <v>0.12</v>
      </c>
    </row>
    <row r="1284" spans="1:4" x14ac:dyDescent="0.25">
      <c r="A1284" t="s">
        <v>47</v>
      </c>
      <c r="B1284" t="s">
        <v>23</v>
      </c>
      <c r="C1284" t="s">
        <v>483</v>
      </c>
      <c r="D1284">
        <v>0.13600000000000001</v>
      </c>
    </row>
    <row r="1285" spans="1:4" x14ac:dyDescent="0.25">
      <c r="A1285" t="s">
        <v>47</v>
      </c>
      <c r="B1285" t="s">
        <v>23</v>
      </c>
      <c r="C1285" t="s">
        <v>494</v>
      </c>
      <c r="D1285">
        <v>0.15</v>
      </c>
    </row>
    <row r="1286" spans="1:4" x14ac:dyDescent="0.25">
      <c r="A1286" t="s">
        <v>47</v>
      </c>
      <c r="B1286" t="s">
        <v>23</v>
      </c>
      <c r="C1286" t="s">
        <v>486</v>
      </c>
      <c r="D1286">
        <v>0.153</v>
      </c>
    </row>
    <row r="1287" spans="1:4" x14ac:dyDescent="0.25">
      <c r="A1287" t="s">
        <v>47</v>
      </c>
      <c r="B1287" t="s">
        <v>23</v>
      </c>
      <c r="C1287" t="s">
        <v>487</v>
      </c>
      <c r="D1287">
        <v>0.14699999999999999</v>
      </c>
    </row>
    <row r="1288" spans="1:4" x14ac:dyDescent="0.25">
      <c r="A1288" t="s">
        <v>47</v>
      </c>
      <c r="B1288" t="s">
        <v>23</v>
      </c>
      <c r="C1288" t="s">
        <v>493</v>
      </c>
      <c r="D1288">
        <v>0.14000000000000001</v>
      </c>
    </row>
    <row r="1289" spans="1:4" x14ac:dyDescent="0.25">
      <c r="A1289" t="s">
        <v>47</v>
      </c>
      <c r="B1289" t="s">
        <v>23</v>
      </c>
      <c r="C1289" t="s">
        <v>495</v>
      </c>
      <c r="D1289">
        <v>0.16300000000000001</v>
      </c>
    </row>
    <row r="1290" spans="1:4" x14ac:dyDescent="0.25">
      <c r="A1290" t="s">
        <v>47</v>
      </c>
      <c r="B1290" t="s">
        <v>23</v>
      </c>
      <c r="C1290" t="s">
        <v>496</v>
      </c>
      <c r="D1290">
        <v>0.16</v>
      </c>
    </row>
    <row r="1291" spans="1:4" x14ac:dyDescent="0.25">
      <c r="A1291" t="s">
        <v>47</v>
      </c>
      <c r="B1291" t="s">
        <v>23</v>
      </c>
      <c r="C1291" t="s">
        <v>497</v>
      </c>
      <c r="D1291">
        <v>0.17499999999999999</v>
      </c>
    </row>
    <row r="1292" spans="1:4" x14ac:dyDescent="0.25">
      <c r="A1292" t="s">
        <v>47</v>
      </c>
      <c r="B1292" t="s">
        <v>23</v>
      </c>
      <c r="C1292" t="s">
        <v>498</v>
      </c>
      <c r="D1292">
        <v>0.19</v>
      </c>
    </row>
    <row r="1293" spans="1:4" x14ac:dyDescent="0.25">
      <c r="A1293" t="s">
        <v>47</v>
      </c>
      <c r="B1293" t="s">
        <v>23</v>
      </c>
      <c r="C1293" t="s">
        <v>499</v>
      </c>
      <c r="D1293">
        <v>0.21</v>
      </c>
    </row>
    <row r="1294" spans="1:4" x14ac:dyDescent="0.25">
      <c r="A1294" t="s">
        <v>47</v>
      </c>
      <c r="B1294" t="s">
        <v>615</v>
      </c>
      <c r="C1294" t="s">
        <v>479</v>
      </c>
      <c r="D1294">
        <v>2.5999999999999999E-2</v>
      </c>
    </row>
    <row r="1295" spans="1:4" x14ac:dyDescent="0.25">
      <c r="A1295" t="s">
        <v>47</v>
      </c>
      <c r="B1295" t="s">
        <v>615</v>
      </c>
      <c r="C1295" t="s">
        <v>481</v>
      </c>
      <c r="D1295">
        <v>2.5999999999999999E-2</v>
      </c>
    </row>
    <row r="1296" spans="1:4" x14ac:dyDescent="0.25">
      <c r="A1296" t="s">
        <v>47</v>
      </c>
      <c r="B1296" t="s">
        <v>615</v>
      </c>
      <c r="C1296" t="s">
        <v>491</v>
      </c>
      <c r="D1296">
        <v>2.5000000000000001E-2</v>
      </c>
    </row>
    <row r="1297" spans="1:4" x14ac:dyDescent="0.25">
      <c r="A1297" t="s">
        <v>47</v>
      </c>
      <c r="B1297" t="s">
        <v>615</v>
      </c>
      <c r="C1297" t="s">
        <v>492</v>
      </c>
      <c r="D1297">
        <v>2.9000000000000001E-2</v>
      </c>
    </row>
    <row r="1298" spans="1:4" x14ac:dyDescent="0.25">
      <c r="A1298" t="s">
        <v>47</v>
      </c>
      <c r="B1298" t="s">
        <v>615</v>
      </c>
      <c r="C1298" t="s">
        <v>483</v>
      </c>
      <c r="D1298">
        <v>2.9000000000000001E-2</v>
      </c>
    </row>
    <row r="1299" spans="1:4" x14ac:dyDescent="0.25">
      <c r="A1299" t="s">
        <v>47</v>
      </c>
      <c r="B1299" t="s">
        <v>615</v>
      </c>
      <c r="C1299" t="s">
        <v>494</v>
      </c>
      <c r="D1299">
        <v>0.03</v>
      </c>
    </row>
    <row r="1300" spans="1:4" x14ac:dyDescent="0.25">
      <c r="A1300" t="s">
        <v>47</v>
      </c>
      <c r="B1300" t="s">
        <v>615</v>
      </c>
      <c r="C1300" t="s">
        <v>486</v>
      </c>
      <c r="D1300">
        <v>2.9000000000000001E-2</v>
      </c>
    </row>
    <row r="1301" spans="1:4" x14ac:dyDescent="0.25">
      <c r="A1301" t="s">
        <v>47</v>
      </c>
      <c r="B1301" t="s">
        <v>615</v>
      </c>
      <c r="C1301" t="s">
        <v>487</v>
      </c>
      <c r="D1301">
        <v>1.4E-2</v>
      </c>
    </row>
    <row r="1302" spans="1:4" x14ac:dyDescent="0.25">
      <c r="A1302" t="s">
        <v>47</v>
      </c>
      <c r="B1302" t="s">
        <v>615</v>
      </c>
      <c r="C1302" t="s">
        <v>493</v>
      </c>
      <c r="D1302">
        <v>3.2000000000000001E-2</v>
      </c>
    </row>
    <row r="1303" spans="1:4" x14ac:dyDescent="0.25">
      <c r="A1303" t="s">
        <v>47</v>
      </c>
      <c r="B1303" t="s">
        <v>615</v>
      </c>
      <c r="C1303" t="s">
        <v>495</v>
      </c>
      <c r="D1303">
        <v>2.3E-2</v>
      </c>
    </row>
    <row r="1304" spans="1:4" x14ac:dyDescent="0.25">
      <c r="A1304" t="s">
        <v>47</v>
      </c>
      <c r="B1304" t="s">
        <v>615</v>
      </c>
      <c r="C1304" t="s">
        <v>496</v>
      </c>
      <c r="D1304">
        <v>2.5000000000000001E-2</v>
      </c>
    </row>
    <row r="1305" spans="1:4" x14ac:dyDescent="0.25">
      <c r="A1305" t="s">
        <v>47</v>
      </c>
      <c r="B1305" t="s">
        <v>615</v>
      </c>
      <c r="C1305" t="s">
        <v>497</v>
      </c>
      <c r="D1305">
        <v>2.5000000000000001E-2</v>
      </c>
    </row>
    <row r="1306" spans="1:4" x14ac:dyDescent="0.25">
      <c r="A1306" t="s">
        <v>47</v>
      </c>
      <c r="B1306" t="s">
        <v>615</v>
      </c>
      <c r="C1306" t="s">
        <v>498</v>
      </c>
      <c r="D1306">
        <v>0.04</v>
      </c>
    </row>
    <row r="1307" spans="1:4" x14ac:dyDescent="0.25">
      <c r="A1307" t="s">
        <v>47</v>
      </c>
      <c r="B1307" t="s">
        <v>615</v>
      </c>
      <c r="C1307" t="s">
        <v>499</v>
      </c>
      <c r="D1307">
        <v>0.04</v>
      </c>
    </row>
    <row r="1308" spans="1:4" x14ac:dyDescent="0.25">
      <c r="A1308" t="s">
        <v>47</v>
      </c>
      <c r="B1308" t="s">
        <v>24</v>
      </c>
      <c r="C1308" t="s">
        <v>492</v>
      </c>
      <c r="D1308">
        <v>0.97099999999999997</v>
      </c>
    </row>
    <row r="1309" spans="1:4" x14ac:dyDescent="0.25">
      <c r="A1309" t="s">
        <v>47</v>
      </c>
      <c r="B1309" t="s">
        <v>24</v>
      </c>
      <c r="C1309" t="s">
        <v>483</v>
      </c>
      <c r="D1309">
        <v>1.1419999999999999</v>
      </c>
    </row>
    <row r="1310" spans="1:4" x14ac:dyDescent="0.25">
      <c r="A1310" t="s">
        <v>47</v>
      </c>
      <c r="B1310" t="s">
        <v>24</v>
      </c>
      <c r="C1310" t="s">
        <v>494</v>
      </c>
      <c r="D1310">
        <v>1.2629999999999999</v>
      </c>
    </row>
    <row r="1311" spans="1:4" x14ac:dyDescent="0.25">
      <c r="A1311" t="s">
        <v>47</v>
      </c>
      <c r="B1311" t="s">
        <v>24</v>
      </c>
      <c r="C1311" t="s">
        <v>486</v>
      </c>
      <c r="D1311">
        <v>1.29</v>
      </c>
    </row>
    <row r="1312" spans="1:4" x14ac:dyDescent="0.25">
      <c r="A1312" t="s">
        <v>47</v>
      </c>
      <c r="B1312" t="s">
        <v>24</v>
      </c>
      <c r="C1312" t="s">
        <v>487</v>
      </c>
      <c r="D1312">
        <v>1.214</v>
      </c>
    </row>
    <row r="1313" spans="1:4" x14ac:dyDescent="0.25">
      <c r="A1313" t="s">
        <v>47</v>
      </c>
      <c r="B1313" t="s">
        <v>24</v>
      </c>
      <c r="C1313" t="s">
        <v>493</v>
      </c>
      <c r="D1313">
        <v>1.175</v>
      </c>
    </row>
    <row r="1314" spans="1:4" x14ac:dyDescent="0.25">
      <c r="A1314" t="s">
        <v>47</v>
      </c>
      <c r="B1314" t="s">
        <v>24</v>
      </c>
      <c r="C1314" t="s">
        <v>495</v>
      </c>
      <c r="D1314">
        <v>1.4039999999999999</v>
      </c>
    </row>
    <row r="1315" spans="1:4" x14ac:dyDescent="0.25">
      <c r="A1315" t="s">
        <v>47</v>
      </c>
      <c r="B1315" t="s">
        <v>24</v>
      </c>
      <c r="C1315" t="s">
        <v>496</v>
      </c>
      <c r="D1315">
        <v>1.3759999999999999</v>
      </c>
    </row>
    <row r="1316" spans="1:4" x14ac:dyDescent="0.25">
      <c r="A1316" t="s">
        <v>47</v>
      </c>
      <c r="B1316" t="s">
        <v>24</v>
      </c>
      <c r="C1316" t="s">
        <v>497</v>
      </c>
      <c r="D1316">
        <v>1.516</v>
      </c>
    </row>
    <row r="1317" spans="1:4" x14ac:dyDescent="0.25">
      <c r="A1317" t="s">
        <v>47</v>
      </c>
      <c r="B1317" t="s">
        <v>24</v>
      </c>
      <c r="C1317" t="s">
        <v>498</v>
      </c>
      <c r="D1317">
        <v>1.7</v>
      </c>
    </row>
    <row r="1318" spans="1:4" x14ac:dyDescent="0.25">
      <c r="A1318" t="s">
        <v>47</v>
      </c>
      <c r="B1318" t="s">
        <v>24</v>
      </c>
      <c r="C1318" t="s">
        <v>499</v>
      </c>
      <c r="D1318">
        <v>1.911</v>
      </c>
    </row>
    <row r="1319" spans="1:4" x14ac:dyDescent="0.25">
      <c r="A1319" t="s">
        <v>47</v>
      </c>
      <c r="B1319" t="s">
        <v>25</v>
      </c>
      <c r="C1319" t="s">
        <v>492</v>
      </c>
      <c r="D1319">
        <v>0.121</v>
      </c>
    </row>
    <row r="1320" spans="1:4" x14ac:dyDescent="0.25">
      <c r="A1320" t="s">
        <v>47</v>
      </c>
      <c r="B1320" t="s">
        <v>25</v>
      </c>
      <c r="C1320" t="s">
        <v>483</v>
      </c>
      <c r="D1320">
        <v>0.158</v>
      </c>
    </row>
    <row r="1321" spans="1:4" x14ac:dyDescent="0.25">
      <c r="A1321" t="s">
        <v>47</v>
      </c>
      <c r="B1321" t="s">
        <v>25</v>
      </c>
      <c r="C1321" t="s">
        <v>494</v>
      </c>
      <c r="D1321">
        <v>0.21099999999999999</v>
      </c>
    </row>
    <row r="1322" spans="1:4" x14ac:dyDescent="0.25">
      <c r="A1322" t="s">
        <v>47</v>
      </c>
      <c r="B1322" t="s">
        <v>25</v>
      </c>
      <c r="C1322" t="s">
        <v>486</v>
      </c>
      <c r="D1322">
        <v>0.29199999999999998</v>
      </c>
    </row>
    <row r="1323" spans="1:4" x14ac:dyDescent="0.25">
      <c r="A1323" t="s">
        <v>47</v>
      </c>
      <c r="B1323" t="s">
        <v>25</v>
      </c>
      <c r="C1323" t="s">
        <v>487</v>
      </c>
      <c r="D1323">
        <v>0.22500000000000001</v>
      </c>
    </row>
    <row r="1324" spans="1:4" x14ac:dyDescent="0.25">
      <c r="A1324" t="s">
        <v>47</v>
      </c>
      <c r="B1324" t="s">
        <v>25</v>
      </c>
      <c r="C1324" t="s">
        <v>493</v>
      </c>
      <c r="D1324">
        <v>0.20399999999999999</v>
      </c>
    </row>
    <row r="1325" spans="1:4" x14ac:dyDescent="0.25">
      <c r="A1325" t="s">
        <v>47</v>
      </c>
      <c r="B1325" t="s">
        <v>25</v>
      </c>
      <c r="C1325" t="s">
        <v>495</v>
      </c>
      <c r="D1325">
        <v>0.41699999999999998</v>
      </c>
    </row>
    <row r="1326" spans="1:4" x14ac:dyDescent="0.25">
      <c r="A1326" t="s">
        <v>47</v>
      </c>
      <c r="B1326" t="s">
        <v>25</v>
      </c>
      <c r="C1326" t="s">
        <v>496</v>
      </c>
      <c r="D1326">
        <v>0.188</v>
      </c>
    </row>
    <row r="1327" spans="1:4" x14ac:dyDescent="0.25">
      <c r="A1327" t="s">
        <v>47</v>
      </c>
      <c r="B1327" t="s">
        <v>25</v>
      </c>
      <c r="C1327" t="s">
        <v>497</v>
      </c>
      <c r="D1327">
        <v>0.22600000000000001</v>
      </c>
    </row>
    <row r="1328" spans="1:4" x14ac:dyDescent="0.25">
      <c r="A1328" t="s">
        <v>47</v>
      </c>
      <c r="B1328" t="s">
        <v>25</v>
      </c>
      <c r="C1328" t="s">
        <v>498</v>
      </c>
      <c r="D1328">
        <v>0.41699999999999998</v>
      </c>
    </row>
    <row r="1329" spans="1:4" x14ac:dyDescent="0.25">
      <c r="A1329" t="s">
        <v>47</v>
      </c>
      <c r="B1329" t="s">
        <v>25</v>
      </c>
      <c r="C1329" t="s">
        <v>499</v>
      </c>
      <c r="D1329">
        <v>0.623</v>
      </c>
    </row>
    <row r="1330" spans="1:4" x14ac:dyDescent="0.25">
      <c r="A1330" t="s">
        <v>47</v>
      </c>
      <c r="B1330" t="s">
        <v>616</v>
      </c>
      <c r="C1330" t="s">
        <v>479</v>
      </c>
      <c r="D1330">
        <v>0.88</v>
      </c>
    </row>
    <row r="1331" spans="1:4" x14ac:dyDescent="0.25">
      <c r="A1331" t="s">
        <v>47</v>
      </c>
      <c r="B1331" t="s">
        <v>616</v>
      </c>
      <c r="C1331" t="s">
        <v>481</v>
      </c>
      <c r="D1331">
        <v>0.88</v>
      </c>
    </row>
    <row r="1332" spans="1:4" x14ac:dyDescent="0.25">
      <c r="A1332" t="s">
        <v>47</v>
      </c>
      <c r="B1332" t="s">
        <v>616</v>
      </c>
      <c r="C1332" t="s">
        <v>491</v>
      </c>
      <c r="D1332">
        <v>1.1000000000000001</v>
      </c>
    </row>
    <row r="1333" spans="1:4" x14ac:dyDescent="0.25">
      <c r="A1333" t="s">
        <v>47</v>
      </c>
      <c r="B1333" t="s">
        <v>616</v>
      </c>
      <c r="C1333" t="s">
        <v>492</v>
      </c>
      <c r="D1333">
        <v>0.99</v>
      </c>
    </row>
    <row r="1334" spans="1:4" x14ac:dyDescent="0.25">
      <c r="A1334" t="s">
        <v>47</v>
      </c>
      <c r="B1334" t="s">
        <v>616</v>
      </c>
      <c r="C1334" t="s">
        <v>483</v>
      </c>
      <c r="D1334">
        <v>0.86</v>
      </c>
    </row>
    <row r="1335" spans="1:4" x14ac:dyDescent="0.25">
      <c r="A1335" t="s">
        <v>47</v>
      </c>
      <c r="B1335" t="s">
        <v>616</v>
      </c>
      <c r="C1335" t="s">
        <v>494</v>
      </c>
      <c r="D1335">
        <v>0.75</v>
      </c>
    </row>
    <row r="1336" spans="1:4" x14ac:dyDescent="0.25">
      <c r="A1336" t="s">
        <v>47</v>
      </c>
      <c r="B1336" t="s">
        <v>616</v>
      </c>
      <c r="C1336" t="s">
        <v>486</v>
      </c>
      <c r="D1336">
        <v>0.47</v>
      </c>
    </row>
    <row r="1337" spans="1:4" x14ac:dyDescent="0.25">
      <c r="A1337" t="s">
        <v>47</v>
      </c>
      <c r="B1337" t="s">
        <v>616</v>
      </c>
      <c r="C1337" t="s">
        <v>487</v>
      </c>
      <c r="D1337">
        <v>0.55000000000000004</v>
      </c>
    </row>
    <row r="1338" spans="1:4" x14ac:dyDescent="0.25">
      <c r="A1338" t="s">
        <v>47</v>
      </c>
      <c r="B1338" t="s">
        <v>616</v>
      </c>
      <c r="C1338" t="s">
        <v>493</v>
      </c>
      <c r="D1338">
        <v>0.62</v>
      </c>
    </row>
    <row r="1339" spans="1:4" x14ac:dyDescent="0.25">
      <c r="A1339" t="s">
        <v>47</v>
      </c>
      <c r="B1339" t="s">
        <v>616</v>
      </c>
      <c r="C1339" t="s">
        <v>495</v>
      </c>
      <c r="D1339">
        <v>0.28000000000000003</v>
      </c>
    </row>
    <row r="1340" spans="1:4" x14ac:dyDescent="0.25">
      <c r="A1340" t="s">
        <v>47</v>
      </c>
      <c r="B1340" t="s">
        <v>616</v>
      </c>
      <c r="C1340" t="s">
        <v>496</v>
      </c>
      <c r="D1340">
        <v>0.62</v>
      </c>
    </row>
    <row r="1341" spans="1:4" x14ac:dyDescent="0.25">
      <c r="A1341" t="s">
        <v>47</v>
      </c>
      <c r="B1341" t="s">
        <v>616</v>
      </c>
      <c r="C1341" t="s">
        <v>497</v>
      </c>
      <c r="D1341">
        <v>0.62</v>
      </c>
    </row>
    <row r="1342" spans="1:4" x14ac:dyDescent="0.25">
      <c r="A1342" t="s">
        <v>47</v>
      </c>
      <c r="B1342" t="s">
        <v>616</v>
      </c>
      <c r="C1342" t="s">
        <v>498</v>
      </c>
      <c r="D1342">
        <v>0.27</v>
      </c>
    </row>
    <row r="1343" spans="1:4" x14ac:dyDescent="0.25">
      <c r="A1343" t="s">
        <v>47</v>
      </c>
      <c r="B1343" t="s">
        <v>616</v>
      </c>
      <c r="C1343" t="s">
        <v>499</v>
      </c>
      <c r="D1343">
        <v>0.27</v>
      </c>
    </row>
  </sheetData>
  <autoFilter ref="A1:D1" xr:uid="{00000000-0001-0000-0000-000000000000}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083-8073-4708-9AE8-A894D58A1ECD}">
  <dimension ref="A1:AD313"/>
  <sheetViews>
    <sheetView workbookViewId="0">
      <selection activeCell="D8" sqref="D8"/>
    </sheetView>
  </sheetViews>
  <sheetFormatPr defaultRowHeight="15" x14ac:dyDescent="0.25"/>
  <cols>
    <col min="1" max="1" width="12" customWidth="1"/>
    <col min="2" max="2" width="15.28515625" customWidth="1"/>
  </cols>
  <sheetData>
    <row r="1" spans="1:14" x14ac:dyDescent="0.25">
      <c r="A1" s="1" t="s">
        <v>0</v>
      </c>
      <c r="B1" s="1" t="s">
        <v>1</v>
      </c>
      <c r="C1" s="1" t="s">
        <v>508</v>
      </c>
      <c r="D1" s="1" t="s">
        <v>3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</row>
    <row r="2" spans="1:14" x14ac:dyDescent="0.25">
      <c r="A2" t="s">
        <v>633</v>
      </c>
      <c r="B2" t="s">
        <v>633</v>
      </c>
      <c r="C2" t="s">
        <v>633</v>
      </c>
      <c r="D2" t="s">
        <v>633</v>
      </c>
      <c r="E2" t="s">
        <v>633</v>
      </c>
      <c r="F2" t="s">
        <v>633</v>
      </c>
      <c r="G2" t="s">
        <v>633</v>
      </c>
      <c r="H2" t="s">
        <v>633</v>
      </c>
      <c r="I2" t="s">
        <v>633</v>
      </c>
      <c r="J2" t="s">
        <v>633</v>
      </c>
    </row>
    <row r="3" spans="1:14" x14ac:dyDescent="0.25">
      <c r="A3" t="s">
        <v>37</v>
      </c>
      <c r="B3" t="s">
        <v>57</v>
      </c>
      <c r="C3" t="s">
        <v>507</v>
      </c>
      <c r="D3">
        <v>3.069</v>
      </c>
      <c r="E3">
        <f t="shared" ref="E3:E66" si="0">IF(B3="FUNGICIDES",D3*1,IF(B3="HERBICIDES",D3*1.2*1.33,IF(B3="GLYFOSAT",D3*1.33,IF(B3="INSECTICID",D3*1.33*2.5,"-"))))</f>
        <v>3.069</v>
      </c>
      <c r="F3">
        <f t="shared" ref="F3:F66" si="1">E3*0.995^4</f>
        <v>3.008078817418125</v>
      </c>
      <c r="G3">
        <f t="shared" ref="G3:G66" si="2">F3*0.9997^4</f>
        <v>3.004470746874937</v>
      </c>
      <c r="H3">
        <f>G3</f>
        <v>3.004470746874937</v>
      </c>
      <c r="I3">
        <f t="shared" ref="I3:I66" si="3">H3*0.995^5</f>
        <v>2.9301063496809312</v>
      </c>
      <c r="J3">
        <f t="shared" ref="J3:J66" si="4">I3*0.9997^5</f>
        <v>2.9257138264611147</v>
      </c>
      <c r="K3">
        <f>J3</f>
        <v>2.9257138264611147</v>
      </c>
      <c r="M3">
        <v>1</v>
      </c>
      <c r="N3" t="s">
        <v>618</v>
      </c>
    </row>
    <row r="4" spans="1:14" x14ac:dyDescent="0.25">
      <c r="A4" t="s">
        <v>43</v>
      </c>
      <c r="B4" t="s">
        <v>48</v>
      </c>
      <c r="C4" t="s">
        <v>506</v>
      </c>
      <c r="D4">
        <v>2.93</v>
      </c>
      <c r="E4">
        <f t="shared" si="0"/>
        <v>4.6762800000000002</v>
      </c>
      <c r="F4">
        <f t="shared" si="1"/>
        <v>4.5834535067826758</v>
      </c>
      <c r="G4">
        <f t="shared" si="2"/>
        <v>4.5779558371444553</v>
      </c>
      <c r="H4">
        <f>G4</f>
        <v>4.5779558371444553</v>
      </c>
      <c r="I4">
        <f t="shared" si="3"/>
        <v>4.4646457220221398</v>
      </c>
      <c r="J4">
        <f t="shared" si="4"/>
        <v>4.4579527704149839</v>
      </c>
      <c r="K4">
        <f>J4</f>
        <v>4.4579527704149839</v>
      </c>
      <c r="M4">
        <v>1</v>
      </c>
      <c r="N4" t="s">
        <v>619</v>
      </c>
    </row>
    <row r="5" spans="1:14" x14ac:dyDescent="0.25">
      <c r="A5" t="s">
        <v>43</v>
      </c>
      <c r="B5" t="s">
        <v>48</v>
      </c>
      <c r="C5" t="s">
        <v>503</v>
      </c>
      <c r="D5">
        <v>2.93</v>
      </c>
      <c r="E5">
        <f t="shared" si="0"/>
        <v>4.6762800000000002</v>
      </c>
      <c r="F5">
        <f t="shared" si="1"/>
        <v>4.5834535067826758</v>
      </c>
      <c r="G5">
        <f t="shared" si="2"/>
        <v>4.5779558371444553</v>
      </c>
      <c r="I5">
        <f t="shared" si="3"/>
        <v>0</v>
      </c>
      <c r="J5">
        <f t="shared" si="4"/>
        <v>0</v>
      </c>
      <c r="M5">
        <v>1</v>
      </c>
      <c r="N5" t="s">
        <v>620</v>
      </c>
    </row>
    <row r="6" spans="1:14" x14ac:dyDescent="0.25">
      <c r="A6" t="s">
        <v>43</v>
      </c>
      <c r="B6" t="s">
        <v>48</v>
      </c>
      <c r="C6" t="s">
        <v>507</v>
      </c>
      <c r="D6">
        <v>2.93</v>
      </c>
      <c r="E6">
        <f t="shared" si="0"/>
        <v>4.6762800000000002</v>
      </c>
      <c r="F6">
        <f t="shared" si="1"/>
        <v>4.5834535067826758</v>
      </c>
      <c r="G6">
        <f t="shared" si="2"/>
        <v>4.5779558371444553</v>
      </c>
      <c r="H6">
        <f>G6</f>
        <v>4.5779558371444553</v>
      </c>
      <c r="I6">
        <f t="shared" si="3"/>
        <v>4.4646457220221398</v>
      </c>
      <c r="J6">
        <f t="shared" si="4"/>
        <v>4.4579527704149839</v>
      </c>
      <c r="K6">
        <f>J6</f>
        <v>4.4579527704149839</v>
      </c>
      <c r="M6">
        <v>1</v>
      </c>
      <c r="N6" t="s">
        <v>621</v>
      </c>
    </row>
    <row r="7" spans="1:14" x14ac:dyDescent="0.25">
      <c r="A7" t="s">
        <v>37</v>
      </c>
      <c r="B7" t="s">
        <v>57</v>
      </c>
      <c r="C7" t="s">
        <v>506</v>
      </c>
      <c r="D7">
        <v>2.657</v>
      </c>
      <c r="E7">
        <f t="shared" si="0"/>
        <v>2.657</v>
      </c>
      <c r="F7">
        <f t="shared" si="1"/>
        <v>2.6042572231606251</v>
      </c>
      <c r="G7">
        <f t="shared" si="2"/>
        <v>2.6011335205104946</v>
      </c>
      <c r="H7">
        <f>G7</f>
        <v>2.6011335205104946</v>
      </c>
      <c r="I7">
        <f t="shared" si="3"/>
        <v>2.5367522225813732</v>
      </c>
      <c r="J7">
        <f t="shared" si="4"/>
        <v>2.5329493766396816</v>
      </c>
      <c r="K7">
        <f>J7</f>
        <v>2.5329493766396816</v>
      </c>
    </row>
    <row r="8" spans="1:14" x14ac:dyDescent="0.25">
      <c r="A8" t="s">
        <v>37</v>
      </c>
      <c r="B8" t="s">
        <v>57</v>
      </c>
      <c r="C8" t="s">
        <v>503</v>
      </c>
      <c r="D8">
        <v>2.044</v>
      </c>
      <c r="E8">
        <f t="shared" si="0"/>
        <v>2.044</v>
      </c>
      <c r="F8">
        <f t="shared" si="1"/>
        <v>2.0034255792775002</v>
      </c>
      <c r="G8">
        <f t="shared" si="2"/>
        <v>2.0010225502158265</v>
      </c>
      <c r="I8">
        <f t="shared" si="3"/>
        <v>0</v>
      </c>
      <c r="J8">
        <f t="shared" si="4"/>
        <v>0</v>
      </c>
      <c r="M8">
        <v>2</v>
      </c>
      <c r="N8" t="s">
        <v>622</v>
      </c>
    </row>
    <row r="9" spans="1:14" x14ac:dyDescent="0.25">
      <c r="A9" t="s">
        <v>37</v>
      </c>
      <c r="B9" t="s">
        <v>48</v>
      </c>
      <c r="C9" t="s">
        <v>507</v>
      </c>
      <c r="D9">
        <v>1.4</v>
      </c>
      <c r="E9">
        <f t="shared" si="0"/>
        <v>2.2343999999999999</v>
      </c>
      <c r="F9">
        <f t="shared" si="1"/>
        <v>2.1900460441965</v>
      </c>
      <c r="G9">
        <f t="shared" si="2"/>
        <v>2.187419171331821</v>
      </c>
      <c r="H9">
        <f>G9</f>
        <v>2.187419171331821</v>
      </c>
      <c r="I9">
        <f t="shared" si="3"/>
        <v>2.1332778193962438</v>
      </c>
      <c r="J9">
        <f t="shared" si="4"/>
        <v>2.1300798220412887</v>
      </c>
      <c r="K9">
        <f>J9</f>
        <v>2.1300798220412887</v>
      </c>
    </row>
    <row r="10" spans="1:14" x14ac:dyDescent="0.25">
      <c r="A10" t="s">
        <v>37</v>
      </c>
      <c r="B10" t="s">
        <v>57</v>
      </c>
      <c r="C10" t="s">
        <v>505</v>
      </c>
      <c r="D10">
        <v>1.3089999999999999</v>
      </c>
      <c r="E10">
        <f t="shared" si="0"/>
        <v>1.3089999999999999</v>
      </c>
      <c r="F10">
        <f t="shared" si="1"/>
        <v>1.283015696318125</v>
      </c>
      <c r="G10">
        <f t="shared" si="2"/>
        <v>1.2814767701724641</v>
      </c>
      <c r="I10">
        <f t="shared" si="3"/>
        <v>0</v>
      </c>
      <c r="J10">
        <f t="shared" si="4"/>
        <v>0</v>
      </c>
      <c r="N10" t="s">
        <v>623</v>
      </c>
    </row>
    <row r="11" spans="1:14" x14ac:dyDescent="0.25">
      <c r="A11" t="s">
        <v>46</v>
      </c>
      <c r="B11" t="s">
        <v>48</v>
      </c>
      <c r="C11" t="s">
        <v>507</v>
      </c>
      <c r="D11">
        <v>1.198</v>
      </c>
      <c r="E11">
        <f t="shared" si="0"/>
        <v>1.9120080000000002</v>
      </c>
      <c r="F11">
        <f t="shared" si="1"/>
        <v>1.8740536863910053</v>
      </c>
      <c r="G11">
        <f t="shared" si="2"/>
        <v>1.8718058337539445</v>
      </c>
      <c r="H11">
        <f t="shared" ref="H11:H17" si="5">G11</f>
        <v>1.8718058337539445</v>
      </c>
      <c r="I11">
        <f t="shared" si="3"/>
        <v>1.8254763054547862</v>
      </c>
      <c r="J11">
        <f t="shared" si="4"/>
        <v>1.8227397334324746</v>
      </c>
      <c r="K11">
        <f t="shared" ref="K11:K17" si="6">J11</f>
        <v>1.8227397334324746</v>
      </c>
      <c r="M11">
        <v>3</v>
      </c>
      <c r="N11" t="s">
        <v>624</v>
      </c>
    </row>
    <row r="12" spans="1:14" x14ac:dyDescent="0.25">
      <c r="A12" t="s">
        <v>45</v>
      </c>
      <c r="B12" t="s">
        <v>48</v>
      </c>
      <c r="C12" t="s">
        <v>507</v>
      </c>
      <c r="D12">
        <v>1.01</v>
      </c>
      <c r="E12">
        <f t="shared" si="0"/>
        <v>1.6119600000000001</v>
      </c>
      <c r="F12">
        <f t="shared" si="1"/>
        <v>1.5799617890274751</v>
      </c>
      <c r="G12">
        <f t="shared" si="2"/>
        <v>1.5780666878893854</v>
      </c>
      <c r="H12">
        <f t="shared" si="5"/>
        <v>1.5780666878893854</v>
      </c>
      <c r="I12">
        <f t="shared" si="3"/>
        <v>1.5390075697072902</v>
      </c>
      <c r="J12">
        <f t="shared" si="4"/>
        <v>1.5367004430440725</v>
      </c>
      <c r="K12">
        <f t="shared" si="6"/>
        <v>1.5367004430440725</v>
      </c>
      <c r="M12">
        <v>4</v>
      </c>
      <c r="N12" t="s">
        <v>625</v>
      </c>
    </row>
    <row r="13" spans="1:14" x14ac:dyDescent="0.25">
      <c r="A13" t="s">
        <v>54</v>
      </c>
      <c r="B13" t="s">
        <v>48</v>
      </c>
      <c r="C13" t="s">
        <v>506</v>
      </c>
      <c r="D13">
        <v>0.999</v>
      </c>
      <c r="E13">
        <f t="shared" si="0"/>
        <v>1.5944039999999999</v>
      </c>
      <c r="F13">
        <f t="shared" si="1"/>
        <v>1.5627542843945026</v>
      </c>
      <c r="G13">
        <f t="shared" si="2"/>
        <v>1.5608798229717782</v>
      </c>
      <c r="H13">
        <f t="shared" si="5"/>
        <v>1.5608798229717782</v>
      </c>
      <c r="I13">
        <f t="shared" si="3"/>
        <v>1.5222461011263198</v>
      </c>
      <c r="J13">
        <f t="shared" si="4"/>
        <v>1.5199641015851766</v>
      </c>
      <c r="K13">
        <f t="shared" si="6"/>
        <v>1.5199641015851766</v>
      </c>
      <c r="N13" t="s">
        <v>626</v>
      </c>
    </row>
    <row r="14" spans="1:14" x14ac:dyDescent="0.25">
      <c r="A14" t="s">
        <v>46</v>
      </c>
      <c r="B14" t="s">
        <v>48</v>
      </c>
      <c r="C14" t="s">
        <v>506</v>
      </c>
      <c r="D14">
        <v>0.97899999999999998</v>
      </c>
      <c r="E14">
        <f t="shared" si="0"/>
        <v>1.562484</v>
      </c>
      <c r="F14">
        <f t="shared" si="1"/>
        <v>1.5314679123345525</v>
      </c>
      <c r="G14">
        <f t="shared" si="2"/>
        <v>1.5296309776670378</v>
      </c>
      <c r="H14">
        <f t="shared" si="5"/>
        <v>1.5296309776670378</v>
      </c>
      <c r="I14">
        <f t="shared" si="3"/>
        <v>1.4917707037063734</v>
      </c>
      <c r="J14">
        <f t="shared" si="4"/>
        <v>1.4895343898417297</v>
      </c>
      <c r="K14">
        <f t="shared" si="6"/>
        <v>1.4895343898417297</v>
      </c>
    </row>
    <row r="15" spans="1:14" x14ac:dyDescent="0.25">
      <c r="A15" t="s">
        <v>53</v>
      </c>
      <c r="B15" t="s">
        <v>48</v>
      </c>
      <c r="C15" t="s">
        <v>507</v>
      </c>
      <c r="D15">
        <v>0.94</v>
      </c>
      <c r="E15">
        <f t="shared" si="0"/>
        <v>1.50024</v>
      </c>
      <c r="F15">
        <f t="shared" si="1"/>
        <v>1.4704594868176502</v>
      </c>
      <c r="G15">
        <f t="shared" si="2"/>
        <v>1.4686957293227942</v>
      </c>
      <c r="H15">
        <f t="shared" si="5"/>
        <v>1.4686957293227942</v>
      </c>
      <c r="I15">
        <f t="shared" si="3"/>
        <v>1.4323436787374781</v>
      </c>
      <c r="J15">
        <f t="shared" si="4"/>
        <v>1.4301964519420083</v>
      </c>
      <c r="K15">
        <f t="shared" si="6"/>
        <v>1.4301964519420083</v>
      </c>
      <c r="N15" t="s">
        <v>627</v>
      </c>
    </row>
    <row r="16" spans="1:14" x14ac:dyDescent="0.25">
      <c r="A16" t="s">
        <v>47</v>
      </c>
      <c r="B16" t="s">
        <v>48</v>
      </c>
      <c r="C16" t="s">
        <v>507</v>
      </c>
      <c r="D16">
        <v>0.94</v>
      </c>
      <c r="E16">
        <f t="shared" si="0"/>
        <v>1.50024</v>
      </c>
      <c r="F16">
        <f t="shared" si="1"/>
        <v>1.4704594868176502</v>
      </c>
      <c r="G16">
        <f t="shared" si="2"/>
        <v>1.4686957293227942</v>
      </c>
      <c r="H16">
        <f t="shared" si="5"/>
        <v>1.4686957293227942</v>
      </c>
      <c r="I16">
        <f t="shared" si="3"/>
        <v>1.4323436787374781</v>
      </c>
      <c r="J16">
        <f t="shared" si="4"/>
        <v>1.4301964519420083</v>
      </c>
      <c r="K16">
        <f t="shared" si="6"/>
        <v>1.4301964519420083</v>
      </c>
      <c r="M16">
        <v>5</v>
      </c>
      <c r="N16" t="s">
        <v>628</v>
      </c>
    </row>
    <row r="17" spans="1:14" x14ac:dyDescent="0.25">
      <c r="A17" t="s">
        <v>37</v>
      </c>
      <c r="B17" t="s">
        <v>48</v>
      </c>
      <c r="C17" t="s">
        <v>506</v>
      </c>
      <c r="D17">
        <v>0.93</v>
      </c>
      <c r="E17">
        <f t="shared" si="0"/>
        <v>1.4842800000000003</v>
      </c>
      <c r="F17">
        <f t="shared" si="1"/>
        <v>1.4548163007876753</v>
      </c>
      <c r="G17">
        <f t="shared" si="2"/>
        <v>1.4530713066704244</v>
      </c>
      <c r="H17">
        <f t="shared" si="5"/>
        <v>1.4530713066704244</v>
      </c>
      <c r="I17">
        <f t="shared" si="3"/>
        <v>1.4171059800275052</v>
      </c>
      <c r="J17">
        <f t="shared" si="4"/>
        <v>1.414981596070285</v>
      </c>
      <c r="K17">
        <f t="shared" si="6"/>
        <v>1.414981596070285</v>
      </c>
    </row>
    <row r="18" spans="1:14" x14ac:dyDescent="0.25">
      <c r="A18" t="s">
        <v>37</v>
      </c>
      <c r="B18" t="s">
        <v>57</v>
      </c>
      <c r="C18" t="s">
        <v>504</v>
      </c>
      <c r="D18">
        <v>0.83099999999999996</v>
      </c>
      <c r="E18">
        <f t="shared" si="0"/>
        <v>0.83099999999999996</v>
      </c>
      <c r="F18">
        <f t="shared" si="1"/>
        <v>0.81450423501937497</v>
      </c>
      <c r="G18">
        <f t="shared" si="2"/>
        <v>0.81352726968167888</v>
      </c>
      <c r="I18">
        <f t="shared" si="3"/>
        <v>0</v>
      </c>
      <c r="J18">
        <f t="shared" si="4"/>
        <v>0</v>
      </c>
      <c r="N18" t="s">
        <v>629</v>
      </c>
    </row>
    <row r="19" spans="1:14" x14ac:dyDescent="0.25">
      <c r="A19" t="s">
        <v>53</v>
      </c>
      <c r="B19" t="s">
        <v>48</v>
      </c>
      <c r="C19" t="s">
        <v>506</v>
      </c>
      <c r="D19">
        <v>0.81</v>
      </c>
      <c r="E19">
        <f t="shared" si="0"/>
        <v>1.2927600000000001</v>
      </c>
      <c r="F19">
        <f t="shared" si="1"/>
        <v>1.2670980684279751</v>
      </c>
      <c r="G19">
        <f t="shared" si="2"/>
        <v>1.2655782348419824</v>
      </c>
      <c r="H19">
        <f>G19</f>
        <v>1.2655782348419824</v>
      </c>
      <c r="I19">
        <f t="shared" si="3"/>
        <v>1.2342535955078269</v>
      </c>
      <c r="J19">
        <f t="shared" si="4"/>
        <v>1.2324033256096028</v>
      </c>
      <c r="K19">
        <f>J19</f>
        <v>1.2324033256096028</v>
      </c>
      <c r="M19">
        <v>6</v>
      </c>
      <c r="N19" t="s">
        <v>630</v>
      </c>
    </row>
    <row r="20" spans="1:14" x14ac:dyDescent="0.25">
      <c r="A20" t="s">
        <v>47</v>
      </c>
      <c r="B20" t="s">
        <v>48</v>
      </c>
      <c r="C20" t="s">
        <v>506</v>
      </c>
      <c r="D20">
        <v>0.81</v>
      </c>
      <c r="E20">
        <f t="shared" si="0"/>
        <v>1.2927600000000001</v>
      </c>
      <c r="F20">
        <f t="shared" si="1"/>
        <v>1.2670980684279751</v>
      </c>
      <c r="G20">
        <f t="shared" si="2"/>
        <v>1.2655782348419824</v>
      </c>
      <c r="H20">
        <f>G20</f>
        <v>1.2655782348419824</v>
      </c>
      <c r="I20">
        <f t="shared" si="3"/>
        <v>1.2342535955078269</v>
      </c>
      <c r="J20">
        <f t="shared" si="4"/>
        <v>1.2324033256096028</v>
      </c>
      <c r="K20">
        <f>J20</f>
        <v>1.2324033256096028</v>
      </c>
      <c r="M20">
        <v>7</v>
      </c>
      <c r="N20" t="s">
        <v>631</v>
      </c>
    </row>
    <row r="21" spans="1:14" x14ac:dyDescent="0.25">
      <c r="A21" t="s">
        <v>37</v>
      </c>
      <c r="B21" t="s">
        <v>57</v>
      </c>
      <c r="C21" t="s">
        <v>501</v>
      </c>
      <c r="D21">
        <v>0.79200000000000004</v>
      </c>
      <c r="E21">
        <f t="shared" si="0"/>
        <v>0.79200000000000004</v>
      </c>
      <c r="F21">
        <f t="shared" si="1"/>
        <v>0.77627840449500007</v>
      </c>
      <c r="G21">
        <f t="shared" si="2"/>
        <v>0.77534728951611287</v>
      </c>
      <c r="H21">
        <f>G21*1.002^4</f>
        <v>0.78156870099070885</v>
      </c>
      <c r="I21">
        <f t="shared" si="3"/>
        <v>0.76222390112027238</v>
      </c>
      <c r="J21">
        <f t="shared" si="4"/>
        <v>0.76108125106433355</v>
      </c>
      <c r="K21">
        <f>J21*1.002^5</f>
        <v>0.76872256777243042</v>
      </c>
      <c r="N21" t="s">
        <v>632</v>
      </c>
    </row>
    <row r="22" spans="1:14" x14ac:dyDescent="0.25">
      <c r="A22" t="s">
        <v>37</v>
      </c>
      <c r="B22" t="s">
        <v>57</v>
      </c>
      <c r="C22" t="s">
        <v>500</v>
      </c>
      <c r="D22">
        <v>0.79200000000000004</v>
      </c>
      <c r="E22">
        <f t="shared" si="0"/>
        <v>0.79200000000000004</v>
      </c>
      <c r="F22">
        <f t="shared" si="1"/>
        <v>0.77627840449500007</v>
      </c>
      <c r="G22">
        <f t="shared" si="2"/>
        <v>0.77534728951611287</v>
      </c>
      <c r="H22">
        <f>G22*1.002^4</f>
        <v>0.78156870099070885</v>
      </c>
      <c r="I22">
        <f t="shared" si="3"/>
        <v>0.76222390112027238</v>
      </c>
      <c r="J22">
        <f t="shared" si="4"/>
        <v>0.76108125106433355</v>
      </c>
      <c r="K22">
        <f>J22*1.002^5</f>
        <v>0.76872256777243042</v>
      </c>
    </row>
    <row r="23" spans="1:14" x14ac:dyDescent="0.25">
      <c r="A23" t="s">
        <v>37</v>
      </c>
      <c r="B23" t="s">
        <v>57</v>
      </c>
      <c r="C23" t="s">
        <v>502</v>
      </c>
      <c r="D23">
        <v>0.79200000000000004</v>
      </c>
      <c r="E23">
        <f t="shared" si="0"/>
        <v>0.79200000000000004</v>
      </c>
      <c r="F23">
        <f t="shared" si="1"/>
        <v>0.77627840449500007</v>
      </c>
      <c r="G23">
        <f t="shared" si="2"/>
        <v>0.77534728951611287</v>
      </c>
      <c r="H23">
        <f>G23*1.002^4</f>
        <v>0.78156870099070885</v>
      </c>
      <c r="I23">
        <f t="shared" si="3"/>
        <v>0.76222390112027238</v>
      </c>
      <c r="J23">
        <f t="shared" si="4"/>
        <v>0.76108125106433355</v>
      </c>
    </row>
    <row r="24" spans="1:14" x14ac:dyDescent="0.25">
      <c r="A24" t="s">
        <v>45</v>
      </c>
      <c r="B24" t="s">
        <v>48</v>
      </c>
      <c r="C24" t="s">
        <v>506</v>
      </c>
      <c r="D24">
        <v>0.78500000000000003</v>
      </c>
      <c r="E24">
        <f t="shared" si="0"/>
        <v>1.2528600000000001</v>
      </c>
      <c r="F24">
        <f t="shared" si="1"/>
        <v>1.2279901033530376</v>
      </c>
      <c r="G24">
        <f t="shared" si="2"/>
        <v>1.2265171782110569</v>
      </c>
      <c r="H24">
        <f>G24</f>
        <v>1.2265171782110569</v>
      </c>
      <c r="I24">
        <f t="shared" si="3"/>
        <v>1.1961593487328939</v>
      </c>
      <c r="J24">
        <f t="shared" si="4"/>
        <v>1.1943661859302939</v>
      </c>
      <c r="K24">
        <f>J24</f>
        <v>1.1943661859302939</v>
      </c>
    </row>
    <row r="25" spans="1:14" x14ac:dyDescent="0.25">
      <c r="A25" t="s">
        <v>54</v>
      </c>
      <c r="B25" t="s">
        <v>48</v>
      </c>
      <c r="C25" t="s">
        <v>507</v>
      </c>
      <c r="D25">
        <v>0.71899999999999997</v>
      </c>
      <c r="E25">
        <f t="shared" si="0"/>
        <v>1.147524</v>
      </c>
      <c r="F25">
        <f t="shared" si="1"/>
        <v>1.1247450755552026</v>
      </c>
      <c r="G25">
        <f t="shared" si="2"/>
        <v>1.1233959887054139</v>
      </c>
      <c r="H25">
        <f>G25</f>
        <v>1.1233959887054139</v>
      </c>
      <c r="I25">
        <f t="shared" si="3"/>
        <v>1.0955905372470709</v>
      </c>
      <c r="J25">
        <f t="shared" si="4"/>
        <v>1.0939481371769189</v>
      </c>
      <c r="K25">
        <f>J25</f>
        <v>1.0939481371769189</v>
      </c>
    </row>
    <row r="26" spans="1:14" x14ac:dyDescent="0.25">
      <c r="A26" t="s">
        <v>37</v>
      </c>
      <c r="B26" t="s">
        <v>48</v>
      </c>
      <c r="C26" t="s">
        <v>505</v>
      </c>
      <c r="D26">
        <v>0.67600000000000005</v>
      </c>
      <c r="E26">
        <f t="shared" si="0"/>
        <v>1.0788960000000001</v>
      </c>
      <c r="F26">
        <f t="shared" si="1"/>
        <v>1.0574793756263101</v>
      </c>
      <c r="G26">
        <f t="shared" si="2"/>
        <v>1.0562109713002223</v>
      </c>
      <c r="I26">
        <f t="shared" si="3"/>
        <v>0</v>
      </c>
      <c r="J26">
        <f t="shared" si="4"/>
        <v>0</v>
      </c>
    </row>
    <row r="27" spans="1:14" x14ac:dyDescent="0.25">
      <c r="A27" t="s">
        <v>45</v>
      </c>
      <c r="B27" t="s">
        <v>48</v>
      </c>
      <c r="C27" t="s">
        <v>503</v>
      </c>
      <c r="D27">
        <v>0.67300000000000004</v>
      </c>
      <c r="E27">
        <f t="shared" si="0"/>
        <v>1.0741080000000001</v>
      </c>
      <c r="F27">
        <f t="shared" si="1"/>
        <v>1.0527864198173176</v>
      </c>
      <c r="G27">
        <f t="shared" si="2"/>
        <v>1.0515236445045113</v>
      </c>
      <c r="I27">
        <f t="shared" si="3"/>
        <v>0</v>
      </c>
      <c r="J27">
        <f t="shared" si="4"/>
        <v>0</v>
      </c>
    </row>
    <row r="28" spans="1:14" x14ac:dyDescent="0.25">
      <c r="A28" t="s">
        <v>37</v>
      </c>
      <c r="B28" t="s">
        <v>48</v>
      </c>
      <c r="C28" t="s">
        <v>504</v>
      </c>
      <c r="D28">
        <v>0.66800000000000004</v>
      </c>
      <c r="E28">
        <f t="shared" si="0"/>
        <v>1.066128</v>
      </c>
      <c r="F28">
        <f t="shared" si="1"/>
        <v>1.0449648268023299</v>
      </c>
      <c r="G28">
        <f t="shared" si="2"/>
        <v>1.0437114331783259</v>
      </c>
      <c r="I28">
        <f t="shared" si="3"/>
        <v>0</v>
      </c>
      <c r="J28">
        <f t="shared" si="4"/>
        <v>0</v>
      </c>
    </row>
    <row r="29" spans="1:14" x14ac:dyDescent="0.25">
      <c r="A29" t="s">
        <v>4</v>
      </c>
      <c r="B29" t="s">
        <v>48</v>
      </c>
      <c r="C29" t="s">
        <v>507</v>
      </c>
      <c r="D29">
        <v>0.51</v>
      </c>
      <c r="E29">
        <f t="shared" si="0"/>
        <v>0.81396000000000002</v>
      </c>
      <c r="F29">
        <f t="shared" si="1"/>
        <v>0.79780248752872507</v>
      </c>
      <c r="G29">
        <f t="shared" si="2"/>
        <v>0.79684555527087775</v>
      </c>
      <c r="H29">
        <f>G29</f>
        <v>0.79684555527087775</v>
      </c>
      <c r="I29">
        <f t="shared" si="3"/>
        <v>0.7771226342086317</v>
      </c>
      <c r="J29">
        <f t="shared" si="4"/>
        <v>0.77595764945789802</v>
      </c>
      <c r="K29">
        <f>J29</f>
        <v>0.77595764945789802</v>
      </c>
    </row>
    <row r="30" spans="1:14" x14ac:dyDescent="0.25">
      <c r="A30" t="s">
        <v>54</v>
      </c>
      <c r="B30" t="s">
        <v>48</v>
      </c>
      <c r="C30" t="s">
        <v>504</v>
      </c>
      <c r="D30">
        <v>0.502</v>
      </c>
      <c r="E30">
        <f t="shared" si="0"/>
        <v>0.8011919999999999</v>
      </c>
      <c r="F30">
        <f t="shared" si="1"/>
        <v>0.785287938704745</v>
      </c>
      <c r="G30">
        <f t="shared" si="2"/>
        <v>0.78434601714898156</v>
      </c>
      <c r="I30">
        <f t="shared" si="3"/>
        <v>0</v>
      </c>
      <c r="J30">
        <f t="shared" si="4"/>
        <v>0</v>
      </c>
    </row>
    <row r="31" spans="1:14" x14ac:dyDescent="0.25">
      <c r="A31" t="s">
        <v>34</v>
      </c>
      <c r="B31" t="s">
        <v>48</v>
      </c>
      <c r="C31" t="s">
        <v>507</v>
      </c>
      <c r="D31">
        <v>0.47299999999999998</v>
      </c>
      <c r="E31">
        <f t="shared" si="0"/>
        <v>0.75490800000000002</v>
      </c>
      <c r="F31">
        <f t="shared" si="1"/>
        <v>0.73992269921781761</v>
      </c>
      <c r="G31">
        <f t="shared" si="2"/>
        <v>0.73903519145710828</v>
      </c>
      <c r="H31">
        <f>G31</f>
        <v>0.73903519145710828</v>
      </c>
      <c r="I31">
        <f t="shared" si="3"/>
        <v>0.72074314898173109</v>
      </c>
      <c r="J31">
        <f t="shared" si="4"/>
        <v>0.71966268273252121</v>
      </c>
      <c r="K31">
        <f>J31</f>
        <v>0.71966268273252121</v>
      </c>
    </row>
    <row r="32" spans="1:14" x14ac:dyDescent="0.25">
      <c r="A32" t="s">
        <v>37</v>
      </c>
      <c r="B32" t="s">
        <v>48</v>
      </c>
      <c r="C32" t="s">
        <v>502</v>
      </c>
      <c r="D32">
        <v>0.45700000000000002</v>
      </c>
      <c r="E32">
        <f t="shared" si="0"/>
        <v>0.72937200000000002</v>
      </c>
      <c r="F32">
        <f t="shared" si="1"/>
        <v>0.7148936015698576</v>
      </c>
      <c r="G32">
        <f t="shared" si="2"/>
        <v>0.714036115213316</v>
      </c>
      <c r="H32">
        <f>G32*1.002^4</f>
        <v>0.71976556386236779</v>
      </c>
      <c r="I32">
        <f t="shared" si="3"/>
        <v>0.70195046869683753</v>
      </c>
      <c r="J32">
        <f t="shared" si="4"/>
        <v>0.70089817455971604</v>
      </c>
    </row>
    <row r="33" spans="1:11" x14ac:dyDescent="0.25">
      <c r="A33" t="s">
        <v>54</v>
      </c>
      <c r="B33" t="s">
        <v>48</v>
      </c>
      <c r="C33" t="s">
        <v>505</v>
      </c>
      <c r="D33">
        <v>0.443</v>
      </c>
      <c r="E33">
        <f t="shared" si="0"/>
        <v>0.70702799999999999</v>
      </c>
      <c r="F33">
        <f t="shared" si="1"/>
        <v>0.69299314112789256</v>
      </c>
      <c r="G33">
        <f t="shared" si="2"/>
        <v>0.69216192349999772</v>
      </c>
      <c r="I33">
        <f t="shared" si="3"/>
        <v>0</v>
      </c>
      <c r="J33">
        <f t="shared" si="4"/>
        <v>0</v>
      </c>
    </row>
    <row r="34" spans="1:11" x14ac:dyDescent="0.25">
      <c r="A34" t="s">
        <v>45</v>
      </c>
      <c r="B34" t="s">
        <v>48</v>
      </c>
      <c r="C34" t="s">
        <v>505</v>
      </c>
      <c r="D34">
        <v>0.44</v>
      </c>
      <c r="E34">
        <f t="shared" si="0"/>
        <v>0.70224000000000009</v>
      </c>
      <c r="F34">
        <f t="shared" si="1"/>
        <v>0.68830018531890014</v>
      </c>
      <c r="G34">
        <f t="shared" si="2"/>
        <v>0.68747459670428679</v>
      </c>
      <c r="I34">
        <f t="shared" si="3"/>
        <v>0</v>
      </c>
      <c r="J34">
        <f t="shared" si="4"/>
        <v>0</v>
      </c>
    </row>
    <row r="35" spans="1:11" x14ac:dyDescent="0.25">
      <c r="A35" t="s">
        <v>37</v>
      </c>
      <c r="B35" t="s">
        <v>48</v>
      </c>
      <c r="C35" t="s">
        <v>503</v>
      </c>
      <c r="D35">
        <v>0.438</v>
      </c>
      <c r="E35">
        <f t="shared" si="0"/>
        <v>0.699048</v>
      </c>
      <c r="F35">
        <f t="shared" si="1"/>
        <v>0.68517154811290504</v>
      </c>
      <c r="G35">
        <f t="shared" si="2"/>
        <v>0.68434971217381269</v>
      </c>
      <c r="I35">
        <f t="shared" si="3"/>
        <v>0</v>
      </c>
      <c r="J35">
        <f t="shared" si="4"/>
        <v>0</v>
      </c>
    </row>
    <row r="36" spans="1:11" x14ac:dyDescent="0.25">
      <c r="A36" t="s">
        <v>4</v>
      </c>
      <c r="B36" t="s">
        <v>48</v>
      </c>
      <c r="C36" t="s">
        <v>506</v>
      </c>
      <c r="D36">
        <v>0.41099999999999998</v>
      </c>
      <c r="E36">
        <f t="shared" si="0"/>
        <v>0.65595599999999998</v>
      </c>
      <c r="F36">
        <f t="shared" si="1"/>
        <v>0.64293494583197253</v>
      </c>
      <c r="G36">
        <f t="shared" si="2"/>
        <v>0.64216377101241318</v>
      </c>
      <c r="H36">
        <f>G36</f>
        <v>0.64216377101241318</v>
      </c>
      <c r="I36">
        <f t="shared" si="3"/>
        <v>0.62626941697989724</v>
      </c>
      <c r="J36">
        <f t="shared" si="4"/>
        <v>0.6253305763278354</v>
      </c>
      <c r="K36">
        <f>J36</f>
        <v>0.6253305763278354</v>
      </c>
    </row>
    <row r="37" spans="1:11" x14ac:dyDescent="0.25">
      <c r="A37" t="s">
        <v>40</v>
      </c>
      <c r="B37" t="s">
        <v>48</v>
      </c>
      <c r="C37" t="s">
        <v>507</v>
      </c>
      <c r="D37">
        <v>0.39100000000000001</v>
      </c>
      <c r="E37">
        <f t="shared" si="0"/>
        <v>0.62403600000000004</v>
      </c>
      <c r="F37">
        <f t="shared" si="1"/>
        <v>0.61164857377202253</v>
      </c>
      <c r="G37">
        <f t="shared" si="2"/>
        <v>0.61091492570767292</v>
      </c>
      <c r="H37">
        <f>G37</f>
        <v>0.61091492570767292</v>
      </c>
      <c r="I37">
        <f t="shared" si="3"/>
        <v>0.59579401955995093</v>
      </c>
      <c r="J37">
        <f t="shared" si="4"/>
        <v>0.5949008645843884</v>
      </c>
      <c r="K37">
        <f>J37</f>
        <v>0.5949008645843884</v>
      </c>
    </row>
    <row r="38" spans="1:11" x14ac:dyDescent="0.25">
      <c r="A38" t="s">
        <v>34</v>
      </c>
      <c r="B38" t="s">
        <v>48</v>
      </c>
      <c r="C38" t="s">
        <v>506</v>
      </c>
      <c r="D38">
        <v>0.36899999999999999</v>
      </c>
      <c r="E38">
        <f t="shared" si="0"/>
        <v>0.588924</v>
      </c>
      <c r="F38">
        <f t="shared" si="1"/>
        <v>0.57723356450607755</v>
      </c>
      <c r="G38">
        <f t="shared" si="2"/>
        <v>0.57654119587245867</v>
      </c>
      <c r="H38">
        <f>G38</f>
        <v>0.57654119587245867</v>
      </c>
      <c r="I38">
        <f t="shared" si="3"/>
        <v>0.56227108239801005</v>
      </c>
      <c r="J38">
        <f t="shared" si="4"/>
        <v>0.5614281816665968</v>
      </c>
      <c r="K38">
        <f>J38</f>
        <v>0.5614281816665968</v>
      </c>
    </row>
    <row r="39" spans="1:11" x14ac:dyDescent="0.25">
      <c r="A39" t="s">
        <v>46</v>
      </c>
      <c r="B39" t="s">
        <v>48</v>
      </c>
      <c r="C39" t="s">
        <v>503</v>
      </c>
      <c r="D39">
        <v>0.36499999999999999</v>
      </c>
      <c r="E39">
        <f t="shared" si="0"/>
        <v>0.58254000000000006</v>
      </c>
      <c r="F39">
        <f t="shared" si="1"/>
        <v>0.57097629009408757</v>
      </c>
      <c r="G39">
        <f t="shared" si="2"/>
        <v>0.57029142681151057</v>
      </c>
      <c r="I39">
        <f t="shared" si="3"/>
        <v>0</v>
      </c>
      <c r="J39">
        <f t="shared" si="4"/>
        <v>0</v>
      </c>
    </row>
    <row r="40" spans="1:11" x14ac:dyDescent="0.25">
      <c r="A40" t="s">
        <v>54</v>
      </c>
      <c r="B40" t="s">
        <v>48</v>
      </c>
      <c r="C40" t="s">
        <v>503</v>
      </c>
      <c r="D40">
        <v>0.34899999999999998</v>
      </c>
      <c r="E40">
        <f t="shared" si="0"/>
        <v>0.55700399999999994</v>
      </c>
      <c r="F40">
        <f t="shared" si="1"/>
        <v>0.54594719244612744</v>
      </c>
      <c r="G40">
        <f t="shared" si="2"/>
        <v>0.54529235056771819</v>
      </c>
      <c r="I40">
        <f t="shared" si="3"/>
        <v>0</v>
      </c>
      <c r="J40">
        <f t="shared" si="4"/>
        <v>0</v>
      </c>
    </row>
    <row r="41" spans="1:11" x14ac:dyDescent="0.25">
      <c r="A41" t="s">
        <v>54</v>
      </c>
      <c r="B41" t="s">
        <v>48</v>
      </c>
      <c r="C41" t="s">
        <v>502</v>
      </c>
      <c r="D41">
        <v>0.34300000000000003</v>
      </c>
      <c r="E41">
        <f t="shared" si="0"/>
        <v>0.54742800000000003</v>
      </c>
      <c r="F41">
        <f t="shared" si="1"/>
        <v>0.53656128082814258</v>
      </c>
      <c r="G41">
        <f t="shared" si="2"/>
        <v>0.53591769697629621</v>
      </c>
      <c r="H41">
        <f>G41*1.002^4</f>
        <v>0.5402179177347749</v>
      </c>
      <c r="I41">
        <f t="shared" si="3"/>
        <v>0.52684685068493486</v>
      </c>
      <c r="J41">
        <f t="shared" si="4"/>
        <v>0.52605705442884587</v>
      </c>
    </row>
    <row r="42" spans="1:11" x14ac:dyDescent="0.25">
      <c r="A42" t="s">
        <v>4</v>
      </c>
      <c r="B42" t="s">
        <v>55</v>
      </c>
      <c r="C42" t="s">
        <v>507</v>
      </c>
      <c r="D42">
        <v>0.312</v>
      </c>
      <c r="E42">
        <f t="shared" si="0"/>
        <v>0.41496</v>
      </c>
      <c r="F42">
        <f t="shared" si="1"/>
        <v>0.40672283677935001</v>
      </c>
      <c r="G42">
        <f t="shared" si="2"/>
        <v>0.40623498896162391</v>
      </c>
      <c r="H42">
        <f t="shared" ref="H42:H49" si="7">G42</f>
        <v>0.40623498896162391</v>
      </c>
      <c r="I42">
        <f t="shared" si="3"/>
        <v>0.39618016645930243</v>
      </c>
      <c r="J42">
        <f t="shared" si="4"/>
        <v>0.39558625266481073</v>
      </c>
      <c r="K42">
        <f t="shared" ref="K42:K49" si="8">J42</f>
        <v>0.39558625266481073</v>
      </c>
    </row>
    <row r="43" spans="1:11" x14ac:dyDescent="0.25">
      <c r="A43" t="s">
        <v>34</v>
      </c>
      <c r="B43" t="s">
        <v>55</v>
      </c>
      <c r="C43" t="s">
        <v>507</v>
      </c>
      <c r="D43">
        <v>0.312</v>
      </c>
      <c r="E43">
        <f t="shared" si="0"/>
        <v>0.41496</v>
      </c>
      <c r="F43">
        <f t="shared" si="1"/>
        <v>0.40672283677935001</v>
      </c>
      <c r="G43">
        <f t="shared" si="2"/>
        <v>0.40623498896162391</v>
      </c>
      <c r="H43">
        <f t="shared" si="7"/>
        <v>0.40623498896162391</v>
      </c>
      <c r="I43">
        <f t="shared" si="3"/>
        <v>0.39618016645930243</v>
      </c>
      <c r="J43">
        <f t="shared" si="4"/>
        <v>0.39558625266481073</v>
      </c>
      <c r="K43">
        <f t="shared" si="8"/>
        <v>0.39558625266481073</v>
      </c>
    </row>
    <row r="44" spans="1:11" x14ac:dyDescent="0.25">
      <c r="A44" t="s">
        <v>40</v>
      </c>
      <c r="B44" t="s">
        <v>55</v>
      </c>
      <c r="C44" t="s">
        <v>507</v>
      </c>
      <c r="D44">
        <v>0.312</v>
      </c>
      <c r="E44">
        <f t="shared" si="0"/>
        <v>0.41496</v>
      </c>
      <c r="F44">
        <f t="shared" si="1"/>
        <v>0.40672283677935001</v>
      </c>
      <c r="G44">
        <f t="shared" si="2"/>
        <v>0.40623498896162391</v>
      </c>
      <c r="H44">
        <f t="shared" si="7"/>
        <v>0.40623498896162391</v>
      </c>
      <c r="I44">
        <f t="shared" si="3"/>
        <v>0.39618016645930243</v>
      </c>
      <c r="J44">
        <f t="shared" si="4"/>
        <v>0.39558625266481073</v>
      </c>
      <c r="K44">
        <f t="shared" si="8"/>
        <v>0.39558625266481073</v>
      </c>
    </row>
    <row r="45" spans="1:11" x14ac:dyDescent="0.25">
      <c r="A45" t="s">
        <v>53</v>
      </c>
      <c r="B45" t="s">
        <v>55</v>
      </c>
      <c r="C45" t="s">
        <v>507</v>
      </c>
      <c r="D45">
        <v>0.312</v>
      </c>
      <c r="E45">
        <f t="shared" si="0"/>
        <v>0.41496</v>
      </c>
      <c r="F45">
        <f t="shared" si="1"/>
        <v>0.40672283677935001</v>
      </c>
      <c r="G45">
        <f t="shared" si="2"/>
        <v>0.40623498896162391</v>
      </c>
      <c r="H45">
        <f t="shared" si="7"/>
        <v>0.40623498896162391</v>
      </c>
      <c r="I45">
        <f t="shared" si="3"/>
        <v>0.39618016645930243</v>
      </c>
      <c r="J45">
        <f t="shared" si="4"/>
        <v>0.39558625266481073</v>
      </c>
      <c r="K45">
        <f t="shared" si="8"/>
        <v>0.39558625266481073</v>
      </c>
    </row>
    <row r="46" spans="1:11" x14ac:dyDescent="0.25">
      <c r="A46" t="s">
        <v>45</v>
      </c>
      <c r="B46" t="s">
        <v>55</v>
      </c>
      <c r="C46" t="s">
        <v>507</v>
      </c>
      <c r="D46">
        <v>0.312</v>
      </c>
      <c r="E46">
        <f t="shared" si="0"/>
        <v>0.41496</v>
      </c>
      <c r="F46">
        <f t="shared" si="1"/>
        <v>0.40672283677935001</v>
      </c>
      <c r="G46">
        <f t="shared" si="2"/>
        <v>0.40623498896162391</v>
      </c>
      <c r="H46">
        <f t="shared" si="7"/>
        <v>0.40623498896162391</v>
      </c>
      <c r="I46">
        <f t="shared" si="3"/>
        <v>0.39618016645930243</v>
      </c>
      <c r="J46">
        <f t="shared" si="4"/>
        <v>0.39558625266481073</v>
      </c>
      <c r="K46">
        <f t="shared" si="8"/>
        <v>0.39558625266481073</v>
      </c>
    </row>
    <row r="47" spans="1:11" x14ac:dyDescent="0.25">
      <c r="A47" t="s">
        <v>46</v>
      </c>
      <c r="B47" t="s">
        <v>55</v>
      </c>
      <c r="C47" t="s">
        <v>507</v>
      </c>
      <c r="D47">
        <v>0.312</v>
      </c>
      <c r="E47">
        <f t="shared" si="0"/>
        <v>0.41496</v>
      </c>
      <c r="F47">
        <f t="shared" si="1"/>
        <v>0.40672283677935001</v>
      </c>
      <c r="G47">
        <f t="shared" si="2"/>
        <v>0.40623498896162391</v>
      </c>
      <c r="H47">
        <f t="shared" si="7"/>
        <v>0.40623498896162391</v>
      </c>
      <c r="I47">
        <f t="shared" si="3"/>
        <v>0.39618016645930243</v>
      </c>
      <c r="J47">
        <f t="shared" si="4"/>
        <v>0.39558625266481073</v>
      </c>
      <c r="K47">
        <f t="shared" si="8"/>
        <v>0.39558625266481073</v>
      </c>
    </row>
    <row r="48" spans="1:11" x14ac:dyDescent="0.25">
      <c r="A48" t="s">
        <v>47</v>
      </c>
      <c r="B48" t="s">
        <v>55</v>
      </c>
      <c r="C48" t="s">
        <v>507</v>
      </c>
      <c r="D48">
        <v>0.312</v>
      </c>
      <c r="E48">
        <f t="shared" si="0"/>
        <v>0.41496</v>
      </c>
      <c r="F48">
        <f t="shared" si="1"/>
        <v>0.40672283677935001</v>
      </c>
      <c r="G48">
        <f t="shared" si="2"/>
        <v>0.40623498896162391</v>
      </c>
      <c r="H48">
        <f t="shared" si="7"/>
        <v>0.40623498896162391</v>
      </c>
      <c r="I48">
        <f t="shared" si="3"/>
        <v>0.39618016645930243</v>
      </c>
      <c r="J48">
        <f t="shared" si="4"/>
        <v>0.39558625266481073</v>
      </c>
      <c r="K48">
        <f t="shared" si="8"/>
        <v>0.39558625266481073</v>
      </c>
    </row>
    <row r="49" spans="1:11" x14ac:dyDescent="0.25">
      <c r="A49" t="s">
        <v>40</v>
      </c>
      <c r="B49" t="s">
        <v>48</v>
      </c>
      <c r="C49" t="s">
        <v>506</v>
      </c>
      <c r="D49">
        <v>0.30399999999999999</v>
      </c>
      <c r="E49">
        <f t="shared" si="0"/>
        <v>0.48518399999999995</v>
      </c>
      <c r="F49">
        <f t="shared" si="1"/>
        <v>0.47555285531123997</v>
      </c>
      <c r="G49">
        <f t="shared" si="2"/>
        <v>0.47498244863205258</v>
      </c>
      <c r="H49">
        <f t="shared" si="7"/>
        <v>0.47498244863205258</v>
      </c>
      <c r="I49">
        <f t="shared" si="3"/>
        <v>0.46322604078318436</v>
      </c>
      <c r="J49">
        <f t="shared" si="4"/>
        <v>0.46253161850039409</v>
      </c>
      <c r="K49">
        <f t="shared" si="8"/>
        <v>0.46253161850039409</v>
      </c>
    </row>
    <row r="50" spans="1:11" x14ac:dyDescent="0.25">
      <c r="A50" t="s">
        <v>53</v>
      </c>
      <c r="B50" t="s">
        <v>48</v>
      </c>
      <c r="C50" t="s">
        <v>503</v>
      </c>
      <c r="D50">
        <v>0.30199999999999999</v>
      </c>
      <c r="E50">
        <f t="shared" si="0"/>
        <v>0.48199200000000003</v>
      </c>
      <c r="F50">
        <f t="shared" si="1"/>
        <v>0.47242421810524504</v>
      </c>
      <c r="G50">
        <f t="shared" si="2"/>
        <v>0.47185756410157859</v>
      </c>
      <c r="I50">
        <f t="shared" si="3"/>
        <v>0</v>
      </c>
      <c r="J50">
        <f t="shared" si="4"/>
        <v>0</v>
      </c>
    </row>
    <row r="51" spans="1:11" x14ac:dyDescent="0.25">
      <c r="A51" t="s">
        <v>47</v>
      </c>
      <c r="B51" t="s">
        <v>48</v>
      </c>
      <c r="C51" t="s">
        <v>503</v>
      </c>
      <c r="D51">
        <v>0.30199999999999999</v>
      </c>
      <c r="E51">
        <f t="shared" si="0"/>
        <v>0.48199200000000003</v>
      </c>
      <c r="F51">
        <f t="shared" si="1"/>
        <v>0.47242421810524504</v>
      </c>
      <c r="G51">
        <f t="shared" si="2"/>
        <v>0.47185756410157859</v>
      </c>
      <c r="I51">
        <f t="shared" si="3"/>
        <v>0</v>
      </c>
      <c r="J51">
        <f t="shared" si="4"/>
        <v>0</v>
      </c>
    </row>
    <row r="52" spans="1:11" x14ac:dyDescent="0.25">
      <c r="A52" t="s">
        <v>4</v>
      </c>
      <c r="B52" t="s">
        <v>48</v>
      </c>
      <c r="C52" t="s">
        <v>505</v>
      </c>
      <c r="D52">
        <v>0.29899999999999999</v>
      </c>
      <c r="E52">
        <f t="shared" si="0"/>
        <v>0.47720399999999996</v>
      </c>
      <c r="F52">
        <f t="shared" si="1"/>
        <v>0.4677312622962525</v>
      </c>
      <c r="G52">
        <f t="shared" si="2"/>
        <v>0.46717023730586754</v>
      </c>
      <c r="I52">
        <f t="shared" si="3"/>
        <v>0</v>
      </c>
      <c r="J52">
        <f t="shared" si="4"/>
        <v>0</v>
      </c>
    </row>
    <row r="53" spans="1:11" x14ac:dyDescent="0.25">
      <c r="A53" t="s">
        <v>4</v>
      </c>
      <c r="B53" t="s">
        <v>48</v>
      </c>
      <c r="C53" t="s">
        <v>504</v>
      </c>
      <c r="D53">
        <v>0.29599999999999999</v>
      </c>
      <c r="E53">
        <f t="shared" si="0"/>
        <v>0.47241599999999995</v>
      </c>
      <c r="F53">
        <f t="shared" si="1"/>
        <v>0.46303830648725997</v>
      </c>
      <c r="G53">
        <f t="shared" si="2"/>
        <v>0.46248291051015644</v>
      </c>
      <c r="I53">
        <f t="shared" si="3"/>
        <v>0</v>
      </c>
      <c r="J53">
        <f t="shared" si="4"/>
        <v>0</v>
      </c>
    </row>
    <row r="54" spans="1:11" x14ac:dyDescent="0.25">
      <c r="A54" t="s">
        <v>53</v>
      </c>
      <c r="B54" t="s">
        <v>57</v>
      </c>
      <c r="C54" t="s">
        <v>507</v>
      </c>
      <c r="D54">
        <v>0.29299999999999998</v>
      </c>
      <c r="E54">
        <f t="shared" si="0"/>
        <v>0.29299999999999998</v>
      </c>
      <c r="F54">
        <f t="shared" si="1"/>
        <v>0.28718380368312502</v>
      </c>
      <c r="G54">
        <f t="shared" si="2"/>
        <v>0.28683933816694579</v>
      </c>
      <c r="H54">
        <f>G54</f>
        <v>0.28683933816694579</v>
      </c>
      <c r="I54">
        <f t="shared" si="3"/>
        <v>0.27973970689361777</v>
      </c>
      <c r="J54">
        <f t="shared" si="4"/>
        <v>0.27932034902349517</v>
      </c>
      <c r="K54">
        <f>J54</f>
        <v>0.27932034902349517</v>
      </c>
    </row>
    <row r="55" spans="1:11" x14ac:dyDescent="0.25">
      <c r="A55" t="s">
        <v>47</v>
      </c>
      <c r="B55" t="s">
        <v>57</v>
      </c>
      <c r="C55" t="s">
        <v>507</v>
      </c>
      <c r="D55">
        <v>0.29299999999999998</v>
      </c>
      <c r="E55">
        <f t="shared" si="0"/>
        <v>0.29299999999999998</v>
      </c>
      <c r="F55">
        <f t="shared" si="1"/>
        <v>0.28718380368312502</v>
      </c>
      <c r="G55">
        <f t="shared" si="2"/>
        <v>0.28683933816694579</v>
      </c>
      <c r="H55">
        <f>G55</f>
        <v>0.28683933816694579</v>
      </c>
      <c r="I55">
        <f t="shared" si="3"/>
        <v>0.27973970689361777</v>
      </c>
      <c r="J55">
        <f t="shared" si="4"/>
        <v>0.27932034902349517</v>
      </c>
      <c r="K55">
        <f>J55</f>
        <v>0.27932034902349517</v>
      </c>
    </row>
    <row r="56" spans="1:11" x14ac:dyDescent="0.25">
      <c r="A56" t="s">
        <v>43</v>
      </c>
      <c r="B56" t="s">
        <v>55</v>
      </c>
      <c r="C56" t="s">
        <v>506</v>
      </c>
      <c r="D56">
        <v>0.28000000000000003</v>
      </c>
      <c r="E56">
        <f t="shared" si="0"/>
        <v>0.37240000000000006</v>
      </c>
      <c r="F56">
        <f t="shared" si="1"/>
        <v>0.36500767403275008</v>
      </c>
      <c r="G56">
        <f t="shared" si="2"/>
        <v>0.36456986188863694</v>
      </c>
      <c r="H56">
        <f>G56</f>
        <v>0.36456986188863694</v>
      </c>
      <c r="I56">
        <f t="shared" si="3"/>
        <v>0.35554630323270736</v>
      </c>
      <c r="J56">
        <f t="shared" si="4"/>
        <v>0.35501330367354816</v>
      </c>
      <c r="K56">
        <f>J56</f>
        <v>0.35501330367354816</v>
      </c>
    </row>
    <row r="57" spans="1:11" x14ac:dyDescent="0.25">
      <c r="A57" t="s">
        <v>43</v>
      </c>
      <c r="B57" t="s">
        <v>55</v>
      </c>
      <c r="C57" t="s">
        <v>503</v>
      </c>
      <c r="D57">
        <v>0.28000000000000003</v>
      </c>
      <c r="E57">
        <f t="shared" si="0"/>
        <v>0.37240000000000006</v>
      </c>
      <c r="F57">
        <f t="shared" si="1"/>
        <v>0.36500767403275008</v>
      </c>
      <c r="G57">
        <f t="shared" si="2"/>
        <v>0.36456986188863694</v>
      </c>
      <c r="I57">
        <f t="shared" si="3"/>
        <v>0</v>
      </c>
      <c r="J57">
        <f t="shared" si="4"/>
        <v>0</v>
      </c>
    </row>
    <row r="58" spans="1:11" x14ac:dyDescent="0.25">
      <c r="A58" t="s">
        <v>43</v>
      </c>
      <c r="B58" t="s">
        <v>55</v>
      </c>
      <c r="C58" t="s">
        <v>507</v>
      </c>
      <c r="D58">
        <v>0.28000000000000003</v>
      </c>
      <c r="E58">
        <f t="shared" si="0"/>
        <v>0.37240000000000006</v>
      </c>
      <c r="F58">
        <f t="shared" si="1"/>
        <v>0.36500767403275008</v>
      </c>
      <c r="G58">
        <f t="shared" si="2"/>
        <v>0.36456986188863694</v>
      </c>
      <c r="H58">
        <f>G58</f>
        <v>0.36456986188863694</v>
      </c>
      <c r="I58">
        <f t="shared" si="3"/>
        <v>0.35554630323270736</v>
      </c>
      <c r="J58">
        <f t="shared" si="4"/>
        <v>0.35501330367354816</v>
      </c>
      <c r="K58">
        <f>J58</f>
        <v>0.35501330367354816</v>
      </c>
    </row>
    <row r="59" spans="1:11" x14ac:dyDescent="0.25">
      <c r="A59" t="s">
        <v>34</v>
      </c>
      <c r="B59" t="s">
        <v>48</v>
      </c>
      <c r="C59" t="s">
        <v>505</v>
      </c>
      <c r="D59">
        <v>0.26900000000000002</v>
      </c>
      <c r="E59">
        <f t="shared" si="0"/>
        <v>0.42932400000000004</v>
      </c>
      <c r="F59">
        <f t="shared" si="1"/>
        <v>0.42080170420632756</v>
      </c>
      <c r="G59">
        <f t="shared" si="2"/>
        <v>0.4202969693487571</v>
      </c>
      <c r="I59">
        <f t="shared" si="3"/>
        <v>0</v>
      </c>
      <c r="J59">
        <f t="shared" si="4"/>
        <v>0</v>
      </c>
    </row>
    <row r="60" spans="1:11" x14ac:dyDescent="0.25">
      <c r="A60" t="s">
        <v>34</v>
      </c>
      <c r="B60" t="s">
        <v>48</v>
      </c>
      <c r="C60" t="s">
        <v>504</v>
      </c>
      <c r="D60">
        <v>0.26500000000000001</v>
      </c>
      <c r="E60">
        <f t="shared" si="0"/>
        <v>0.42294000000000004</v>
      </c>
      <c r="F60">
        <f t="shared" si="1"/>
        <v>0.41454442979433759</v>
      </c>
      <c r="G60">
        <f t="shared" si="2"/>
        <v>0.41404720028780906</v>
      </c>
      <c r="I60">
        <f t="shared" si="3"/>
        <v>0</v>
      </c>
      <c r="J60">
        <f t="shared" si="4"/>
        <v>0</v>
      </c>
    </row>
    <row r="61" spans="1:11" x14ac:dyDescent="0.25">
      <c r="A61" t="s">
        <v>4</v>
      </c>
      <c r="B61" t="s">
        <v>55</v>
      </c>
      <c r="C61" t="s">
        <v>506</v>
      </c>
      <c r="D61">
        <v>0.26100000000000001</v>
      </c>
      <c r="E61">
        <f t="shared" si="0"/>
        <v>0.34713000000000005</v>
      </c>
      <c r="F61">
        <f t="shared" si="1"/>
        <v>0.34023929615195631</v>
      </c>
      <c r="G61">
        <f t="shared" si="2"/>
        <v>0.33983119268905082</v>
      </c>
      <c r="H61">
        <f t="shared" ref="H61:H69" si="9">G61</f>
        <v>0.33983119268905082</v>
      </c>
      <c r="I61">
        <f t="shared" si="3"/>
        <v>0.33141994694191651</v>
      </c>
      <c r="J61">
        <f t="shared" si="4"/>
        <v>0.33092311520998596</v>
      </c>
      <c r="K61">
        <f t="shared" ref="K61:K69" si="10">J61</f>
        <v>0.33092311520998596</v>
      </c>
    </row>
    <row r="62" spans="1:11" x14ac:dyDescent="0.25">
      <c r="A62" t="s">
        <v>34</v>
      </c>
      <c r="B62" t="s">
        <v>55</v>
      </c>
      <c r="C62" t="s">
        <v>506</v>
      </c>
      <c r="D62">
        <v>0.26100000000000001</v>
      </c>
      <c r="E62">
        <f t="shared" si="0"/>
        <v>0.34713000000000005</v>
      </c>
      <c r="F62">
        <f t="shared" si="1"/>
        <v>0.34023929615195631</v>
      </c>
      <c r="G62">
        <f t="shared" si="2"/>
        <v>0.33983119268905082</v>
      </c>
      <c r="H62">
        <f t="shared" si="9"/>
        <v>0.33983119268905082</v>
      </c>
      <c r="I62">
        <f t="shared" si="3"/>
        <v>0.33141994694191651</v>
      </c>
      <c r="J62">
        <f t="shared" si="4"/>
        <v>0.33092311520998596</v>
      </c>
      <c r="K62">
        <f t="shared" si="10"/>
        <v>0.33092311520998596</v>
      </c>
    </row>
    <row r="63" spans="1:11" x14ac:dyDescent="0.25">
      <c r="A63" t="s">
        <v>40</v>
      </c>
      <c r="B63" t="s">
        <v>55</v>
      </c>
      <c r="C63" t="s">
        <v>506</v>
      </c>
      <c r="D63">
        <v>0.26100000000000001</v>
      </c>
      <c r="E63">
        <f t="shared" si="0"/>
        <v>0.34713000000000005</v>
      </c>
      <c r="F63">
        <f t="shared" si="1"/>
        <v>0.34023929615195631</v>
      </c>
      <c r="G63">
        <f t="shared" si="2"/>
        <v>0.33983119268905082</v>
      </c>
      <c r="H63">
        <f t="shared" si="9"/>
        <v>0.33983119268905082</v>
      </c>
      <c r="I63">
        <f t="shared" si="3"/>
        <v>0.33141994694191651</v>
      </c>
      <c r="J63">
        <f t="shared" si="4"/>
        <v>0.33092311520998596</v>
      </c>
      <c r="K63">
        <f t="shared" si="10"/>
        <v>0.33092311520998596</v>
      </c>
    </row>
    <row r="64" spans="1:11" x14ac:dyDescent="0.25">
      <c r="A64" t="s">
        <v>53</v>
      </c>
      <c r="B64" t="s">
        <v>57</v>
      </c>
      <c r="C64" t="s">
        <v>506</v>
      </c>
      <c r="D64">
        <v>0.26100000000000001</v>
      </c>
      <c r="E64">
        <f t="shared" si="0"/>
        <v>0.26100000000000001</v>
      </c>
      <c r="F64">
        <f t="shared" si="1"/>
        <v>0.25581901966312504</v>
      </c>
      <c r="G64">
        <f t="shared" si="2"/>
        <v>0.25551217495417355</v>
      </c>
      <c r="H64">
        <f t="shared" si="9"/>
        <v>0.25551217495417355</v>
      </c>
      <c r="I64">
        <f t="shared" si="3"/>
        <v>0.24918793003151615</v>
      </c>
      <c r="J64">
        <f t="shared" si="4"/>
        <v>0.24881437233833528</v>
      </c>
      <c r="K64">
        <f t="shared" si="10"/>
        <v>0.24881437233833528</v>
      </c>
    </row>
    <row r="65" spans="1:11" x14ac:dyDescent="0.25">
      <c r="A65" t="s">
        <v>53</v>
      </c>
      <c r="B65" t="s">
        <v>55</v>
      </c>
      <c r="C65" t="s">
        <v>506</v>
      </c>
      <c r="D65">
        <v>0.26100000000000001</v>
      </c>
      <c r="E65">
        <f t="shared" si="0"/>
        <v>0.34713000000000005</v>
      </c>
      <c r="F65">
        <f t="shared" si="1"/>
        <v>0.34023929615195631</v>
      </c>
      <c r="G65">
        <f t="shared" si="2"/>
        <v>0.33983119268905082</v>
      </c>
      <c r="H65">
        <f t="shared" si="9"/>
        <v>0.33983119268905082</v>
      </c>
      <c r="I65">
        <f t="shared" si="3"/>
        <v>0.33141994694191651</v>
      </c>
      <c r="J65">
        <f t="shared" si="4"/>
        <v>0.33092311520998596</v>
      </c>
      <c r="K65">
        <f t="shared" si="10"/>
        <v>0.33092311520998596</v>
      </c>
    </row>
    <row r="66" spans="1:11" x14ac:dyDescent="0.25">
      <c r="A66" t="s">
        <v>45</v>
      </c>
      <c r="B66" t="s">
        <v>55</v>
      </c>
      <c r="C66" t="s">
        <v>506</v>
      </c>
      <c r="D66">
        <v>0.26100000000000001</v>
      </c>
      <c r="E66">
        <f t="shared" si="0"/>
        <v>0.34713000000000005</v>
      </c>
      <c r="F66">
        <f t="shared" si="1"/>
        <v>0.34023929615195631</v>
      </c>
      <c r="G66">
        <f t="shared" si="2"/>
        <v>0.33983119268905082</v>
      </c>
      <c r="H66">
        <f t="shared" si="9"/>
        <v>0.33983119268905082</v>
      </c>
      <c r="I66">
        <f t="shared" si="3"/>
        <v>0.33141994694191651</v>
      </c>
      <c r="J66">
        <f t="shared" si="4"/>
        <v>0.33092311520998596</v>
      </c>
      <c r="K66">
        <f t="shared" si="10"/>
        <v>0.33092311520998596</v>
      </c>
    </row>
    <row r="67" spans="1:11" x14ac:dyDescent="0.25">
      <c r="A67" t="s">
        <v>46</v>
      </c>
      <c r="B67" t="s">
        <v>55</v>
      </c>
      <c r="C67" t="s">
        <v>506</v>
      </c>
      <c r="D67">
        <v>0.26100000000000001</v>
      </c>
      <c r="E67">
        <f t="shared" ref="E67:E130" si="11">IF(B67="FUNGICIDES",D67*1,IF(B67="HERBICIDES",D67*1.2*1.33,IF(B67="GLYFOSAT",D67*1.33,IF(B67="INSECTICID",D67*1.33*2.5,"-"))))</f>
        <v>0.34713000000000005</v>
      </c>
      <c r="F67">
        <f t="shared" ref="F67:F130" si="12">E67*0.995^4</f>
        <v>0.34023929615195631</v>
      </c>
      <c r="G67">
        <f t="shared" ref="G67:G130" si="13">F67*0.9997^4</f>
        <v>0.33983119268905082</v>
      </c>
      <c r="H67">
        <f t="shared" si="9"/>
        <v>0.33983119268905082</v>
      </c>
      <c r="I67">
        <f t="shared" ref="I67:I130" si="14">H67*0.995^5</f>
        <v>0.33141994694191651</v>
      </c>
      <c r="J67">
        <f t="shared" ref="J67:J130" si="15">I67*0.9997^5</f>
        <v>0.33092311520998596</v>
      </c>
      <c r="K67">
        <f t="shared" si="10"/>
        <v>0.33092311520998596</v>
      </c>
    </row>
    <row r="68" spans="1:11" x14ac:dyDescent="0.25">
      <c r="A68" t="s">
        <v>47</v>
      </c>
      <c r="B68" t="s">
        <v>57</v>
      </c>
      <c r="C68" t="s">
        <v>506</v>
      </c>
      <c r="D68">
        <v>0.26100000000000001</v>
      </c>
      <c r="E68">
        <f t="shared" si="11"/>
        <v>0.26100000000000001</v>
      </c>
      <c r="F68">
        <f t="shared" si="12"/>
        <v>0.25581901966312504</v>
      </c>
      <c r="G68">
        <f t="shared" si="13"/>
        <v>0.25551217495417355</v>
      </c>
      <c r="H68">
        <f t="shared" si="9"/>
        <v>0.25551217495417355</v>
      </c>
      <c r="I68">
        <f t="shared" si="14"/>
        <v>0.24918793003151615</v>
      </c>
      <c r="J68">
        <f t="shared" si="15"/>
        <v>0.24881437233833528</v>
      </c>
      <c r="K68">
        <f t="shared" si="10"/>
        <v>0.24881437233833528</v>
      </c>
    </row>
    <row r="69" spans="1:11" x14ac:dyDescent="0.25">
      <c r="A69" t="s">
        <v>47</v>
      </c>
      <c r="B69" t="s">
        <v>55</v>
      </c>
      <c r="C69" t="s">
        <v>506</v>
      </c>
      <c r="D69">
        <v>0.26100000000000001</v>
      </c>
      <c r="E69">
        <f t="shared" si="11"/>
        <v>0.34713000000000005</v>
      </c>
      <c r="F69">
        <f t="shared" si="12"/>
        <v>0.34023929615195631</v>
      </c>
      <c r="G69">
        <f t="shared" si="13"/>
        <v>0.33983119268905082</v>
      </c>
      <c r="H69">
        <f t="shared" si="9"/>
        <v>0.33983119268905082</v>
      </c>
      <c r="I69">
        <f t="shared" si="14"/>
        <v>0.33141994694191651</v>
      </c>
      <c r="J69">
        <f t="shared" si="15"/>
        <v>0.33092311520998596</v>
      </c>
      <c r="K69">
        <f t="shared" si="10"/>
        <v>0.33092311520998596</v>
      </c>
    </row>
    <row r="70" spans="1:11" x14ac:dyDescent="0.25">
      <c r="A70" t="s">
        <v>40</v>
      </c>
      <c r="B70" t="s">
        <v>48</v>
      </c>
      <c r="C70" t="s">
        <v>503</v>
      </c>
      <c r="D70">
        <v>0.26100000000000001</v>
      </c>
      <c r="E70">
        <f t="shared" si="11"/>
        <v>0.41655599999999998</v>
      </c>
      <c r="F70">
        <f t="shared" si="12"/>
        <v>0.4082871553823475</v>
      </c>
      <c r="G70">
        <f t="shared" si="13"/>
        <v>0.40779743122686096</v>
      </c>
      <c r="I70">
        <f t="shared" si="14"/>
        <v>0</v>
      </c>
      <c r="J70">
        <f t="shared" si="15"/>
        <v>0</v>
      </c>
    </row>
    <row r="71" spans="1:11" x14ac:dyDescent="0.25">
      <c r="A71" t="s">
        <v>46</v>
      </c>
      <c r="B71" t="s">
        <v>48</v>
      </c>
      <c r="C71" t="s">
        <v>505</v>
      </c>
      <c r="D71">
        <v>0.252</v>
      </c>
      <c r="E71">
        <f t="shared" si="11"/>
        <v>0.40219200000000005</v>
      </c>
      <c r="F71">
        <f t="shared" si="12"/>
        <v>0.39420828795537005</v>
      </c>
      <c r="G71">
        <f t="shared" si="13"/>
        <v>0.39373545083972783</v>
      </c>
      <c r="I71">
        <f t="shared" si="14"/>
        <v>0</v>
      </c>
      <c r="J71">
        <f t="shared" si="15"/>
        <v>0</v>
      </c>
    </row>
    <row r="72" spans="1:11" x14ac:dyDescent="0.25">
      <c r="A72" t="s">
        <v>37</v>
      </c>
      <c r="B72" t="s">
        <v>48</v>
      </c>
      <c r="C72" t="s">
        <v>501</v>
      </c>
      <c r="D72">
        <v>0.252</v>
      </c>
      <c r="E72">
        <f t="shared" si="11"/>
        <v>0.40219200000000005</v>
      </c>
      <c r="F72">
        <f t="shared" si="12"/>
        <v>0.39420828795537005</v>
      </c>
      <c r="G72">
        <f t="shared" si="13"/>
        <v>0.39373545083972783</v>
      </c>
      <c r="H72">
        <f>G72*1.002^4</f>
        <v>0.39689479670309996</v>
      </c>
      <c r="I72">
        <f t="shared" si="14"/>
        <v>0.38707115560525834</v>
      </c>
      <c r="J72">
        <f t="shared" si="15"/>
        <v>0.386490897131397</v>
      </c>
      <c r="K72">
        <f>J72*1.002^5</f>
        <v>0.39037129668879966</v>
      </c>
    </row>
    <row r="73" spans="1:11" x14ac:dyDescent="0.25">
      <c r="A73" t="s">
        <v>37</v>
      </c>
      <c r="B73" t="s">
        <v>48</v>
      </c>
      <c r="C73" t="s">
        <v>500</v>
      </c>
      <c r="D73">
        <v>0.252</v>
      </c>
      <c r="E73">
        <f t="shared" si="11"/>
        <v>0.40219200000000005</v>
      </c>
      <c r="F73">
        <f t="shared" si="12"/>
        <v>0.39420828795537005</v>
      </c>
      <c r="G73">
        <f t="shared" si="13"/>
        <v>0.39373545083972783</v>
      </c>
      <c r="H73">
        <f>G73*1.002^4</f>
        <v>0.39689479670309996</v>
      </c>
      <c r="I73">
        <f t="shared" si="14"/>
        <v>0.38707115560525834</v>
      </c>
      <c r="J73">
        <f t="shared" si="15"/>
        <v>0.386490897131397</v>
      </c>
      <c r="K73">
        <f>J73*1.002^5</f>
        <v>0.39037129668879966</v>
      </c>
    </row>
    <row r="74" spans="1:11" x14ac:dyDescent="0.25">
      <c r="A74" t="s">
        <v>46</v>
      </c>
      <c r="B74" t="s">
        <v>48</v>
      </c>
      <c r="C74" t="s">
        <v>504</v>
      </c>
      <c r="D74">
        <v>0.23100000000000001</v>
      </c>
      <c r="E74">
        <f t="shared" si="11"/>
        <v>0.368676</v>
      </c>
      <c r="F74">
        <f t="shared" si="12"/>
        <v>0.36135759729242251</v>
      </c>
      <c r="G74">
        <f t="shared" si="13"/>
        <v>0.36092416326975046</v>
      </c>
      <c r="I74">
        <f t="shared" si="14"/>
        <v>0</v>
      </c>
      <c r="J74">
        <f t="shared" si="15"/>
        <v>0</v>
      </c>
    </row>
    <row r="75" spans="1:11" x14ac:dyDescent="0.25">
      <c r="A75" t="s">
        <v>54</v>
      </c>
      <c r="B75" t="s">
        <v>48</v>
      </c>
      <c r="C75" t="s">
        <v>501</v>
      </c>
      <c r="D75">
        <v>0.217</v>
      </c>
      <c r="E75">
        <f t="shared" si="11"/>
        <v>0.34633199999999997</v>
      </c>
      <c r="F75">
        <f t="shared" si="12"/>
        <v>0.33945713685045747</v>
      </c>
      <c r="G75">
        <f t="shared" si="13"/>
        <v>0.33904997155643224</v>
      </c>
      <c r="H75">
        <f>G75*1.002^4</f>
        <v>0.34177051938322489</v>
      </c>
      <c r="I75">
        <f t="shared" si="14"/>
        <v>0.33331127288230572</v>
      </c>
      <c r="J75">
        <f t="shared" si="15"/>
        <v>0.33281160586314734</v>
      </c>
      <c r="K75">
        <f>J75*1.002^5</f>
        <v>0.33615306103757736</v>
      </c>
    </row>
    <row r="76" spans="1:11" x14ac:dyDescent="0.25">
      <c r="A76" t="s">
        <v>54</v>
      </c>
      <c r="B76" t="s">
        <v>48</v>
      </c>
      <c r="C76" t="s">
        <v>500</v>
      </c>
      <c r="D76">
        <v>0.217</v>
      </c>
      <c r="E76">
        <f t="shared" si="11"/>
        <v>0.34633199999999997</v>
      </c>
      <c r="F76">
        <f t="shared" si="12"/>
        <v>0.33945713685045747</v>
      </c>
      <c r="G76">
        <f t="shared" si="13"/>
        <v>0.33904997155643224</v>
      </c>
      <c r="H76">
        <f>G76*1.002^4</f>
        <v>0.34177051938322489</v>
      </c>
      <c r="I76">
        <f t="shared" si="14"/>
        <v>0.33331127288230572</v>
      </c>
      <c r="J76">
        <f t="shared" si="15"/>
        <v>0.33281160586314734</v>
      </c>
      <c r="K76">
        <f>J76*1.002^5</f>
        <v>0.33615306103757736</v>
      </c>
    </row>
    <row r="77" spans="1:11" x14ac:dyDescent="0.25">
      <c r="A77" t="s">
        <v>53</v>
      </c>
      <c r="B77" t="s">
        <v>48</v>
      </c>
      <c r="C77" t="s">
        <v>505</v>
      </c>
      <c r="D77">
        <v>0.20799999999999999</v>
      </c>
      <c r="E77">
        <f t="shared" si="11"/>
        <v>0.33196799999999999</v>
      </c>
      <c r="F77">
        <f t="shared" si="12"/>
        <v>0.32537826942348003</v>
      </c>
      <c r="G77">
        <f t="shared" si="13"/>
        <v>0.32498799116929916</v>
      </c>
      <c r="I77">
        <f t="shared" si="14"/>
        <v>0</v>
      </c>
      <c r="J77">
        <f t="shared" si="15"/>
        <v>0</v>
      </c>
    </row>
    <row r="78" spans="1:11" x14ac:dyDescent="0.25">
      <c r="A78" t="s">
        <v>47</v>
      </c>
      <c r="B78" t="s">
        <v>48</v>
      </c>
      <c r="C78" t="s">
        <v>505</v>
      </c>
      <c r="D78">
        <v>0.20799999999999999</v>
      </c>
      <c r="E78">
        <f t="shared" si="11"/>
        <v>0.33196799999999999</v>
      </c>
      <c r="F78">
        <f t="shared" si="12"/>
        <v>0.32537826942348003</v>
      </c>
      <c r="G78">
        <f t="shared" si="13"/>
        <v>0.32498799116929916</v>
      </c>
      <c r="I78">
        <f t="shared" si="14"/>
        <v>0</v>
      </c>
      <c r="J78">
        <f t="shared" si="15"/>
        <v>0</v>
      </c>
    </row>
    <row r="79" spans="1:11" x14ac:dyDescent="0.25">
      <c r="A79" t="s">
        <v>4</v>
      </c>
      <c r="B79" t="s">
        <v>48</v>
      </c>
      <c r="C79" t="s">
        <v>503</v>
      </c>
      <c r="D79">
        <v>0.20499999999999999</v>
      </c>
      <c r="E79">
        <f t="shared" si="11"/>
        <v>0.32717999999999997</v>
      </c>
      <c r="F79">
        <f t="shared" si="12"/>
        <v>0.32068531361448749</v>
      </c>
      <c r="G79">
        <f t="shared" si="13"/>
        <v>0.32030066437358806</v>
      </c>
      <c r="I79">
        <f t="shared" si="14"/>
        <v>0</v>
      </c>
      <c r="J79">
        <f t="shared" si="15"/>
        <v>0</v>
      </c>
    </row>
    <row r="80" spans="1:11" x14ac:dyDescent="0.25">
      <c r="A80" t="s">
        <v>30</v>
      </c>
      <c r="B80" t="s">
        <v>55</v>
      </c>
      <c r="C80" t="s">
        <v>506</v>
      </c>
      <c r="D80">
        <v>0.20200000000000001</v>
      </c>
      <c r="E80">
        <f t="shared" si="11"/>
        <v>0.26866000000000001</v>
      </c>
      <c r="F80">
        <f t="shared" si="12"/>
        <v>0.26332696483791251</v>
      </c>
      <c r="G80">
        <f t="shared" si="13"/>
        <v>0.2630111146482309</v>
      </c>
      <c r="H80">
        <f>G80</f>
        <v>0.2630111146482309</v>
      </c>
      <c r="I80">
        <f t="shared" si="14"/>
        <v>0.25650126161788173</v>
      </c>
      <c r="J80">
        <f t="shared" si="15"/>
        <v>0.25611674050734545</v>
      </c>
      <c r="K80">
        <f>J80</f>
        <v>0.25611674050734545</v>
      </c>
    </row>
    <row r="81" spans="1:11" x14ac:dyDescent="0.25">
      <c r="A81" t="s">
        <v>30</v>
      </c>
      <c r="B81" t="s">
        <v>55</v>
      </c>
      <c r="C81" t="s">
        <v>505</v>
      </c>
      <c r="D81">
        <v>0.20200000000000001</v>
      </c>
      <c r="E81">
        <f t="shared" si="11"/>
        <v>0.26866000000000001</v>
      </c>
      <c r="F81">
        <f t="shared" si="12"/>
        <v>0.26332696483791251</v>
      </c>
      <c r="G81">
        <f t="shared" si="13"/>
        <v>0.2630111146482309</v>
      </c>
      <c r="I81">
        <f t="shared" si="14"/>
        <v>0</v>
      </c>
      <c r="J81">
        <f t="shared" si="15"/>
        <v>0</v>
      </c>
    </row>
    <row r="82" spans="1:11" x14ac:dyDescent="0.25">
      <c r="A82" t="s">
        <v>30</v>
      </c>
      <c r="B82" t="s">
        <v>55</v>
      </c>
      <c r="C82" t="s">
        <v>503</v>
      </c>
      <c r="D82">
        <v>0.20200000000000001</v>
      </c>
      <c r="E82">
        <f t="shared" si="11"/>
        <v>0.26866000000000001</v>
      </c>
      <c r="F82">
        <f t="shared" si="12"/>
        <v>0.26332696483791251</v>
      </c>
      <c r="G82">
        <f t="shared" si="13"/>
        <v>0.2630111146482309</v>
      </c>
      <c r="I82">
        <f t="shared" si="14"/>
        <v>0</v>
      </c>
      <c r="J82">
        <f t="shared" si="15"/>
        <v>0</v>
      </c>
    </row>
    <row r="83" spans="1:11" x14ac:dyDescent="0.25">
      <c r="A83" t="s">
        <v>30</v>
      </c>
      <c r="B83" t="s">
        <v>55</v>
      </c>
      <c r="C83" t="s">
        <v>507</v>
      </c>
      <c r="D83">
        <v>0.20200000000000001</v>
      </c>
      <c r="E83">
        <f t="shared" si="11"/>
        <v>0.26866000000000001</v>
      </c>
      <c r="F83">
        <f t="shared" si="12"/>
        <v>0.26332696483791251</v>
      </c>
      <c r="G83">
        <f t="shared" si="13"/>
        <v>0.2630111146482309</v>
      </c>
      <c r="H83">
        <f>G83</f>
        <v>0.2630111146482309</v>
      </c>
      <c r="I83">
        <f t="shared" si="14"/>
        <v>0.25650126161788173</v>
      </c>
      <c r="J83">
        <f t="shared" si="15"/>
        <v>0.25611674050734545</v>
      </c>
      <c r="K83">
        <f>J83</f>
        <v>0.25611674050734545</v>
      </c>
    </row>
    <row r="84" spans="1:11" x14ac:dyDescent="0.25">
      <c r="A84" t="s">
        <v>30</v>
      </c>
      <c r="B84" t="s">
        <v>55</v>
      </c>
      <c r="C84" t="s">
        <v>501</v>
      </c>
      <c r="D84">
        <v>0.20200000000000001</v>
      </c>
      <c r="E84">
        <f t="shared" si="11"/>
        <v>0.26866000000000001</v>
      </c>
      <c r="F84">
        <f t="shared" si="12"/>
        <v>0.26332696483791251</v>
      </c>
      <c r="G84">
        <f t="shared" si="13"/>
        <v>0.2630111146482309</v>
      </c>
      <c r="H84">
        <f>G84*1.002^4</f>
        <v>0.26512152425273211</v>
      </c>
      <c r="I84">
        <f t="shared" si="14"/>
        <v>0.25855943595324793</v>
      </c>
      <c r="J84">
        <f t="shared" si="15"/>
        <v>0.25817182943300987</v>
      </c>
      <c r="K84">
        <f>J84*1.002^5</f>
        <v>0.26076389527492566</v>
      </c>
    </row>
    <row r="85" spans="1:11" x14ac:dyDescent="0.25">
      <c r="A85" t="s">
        <v>30</v>
      </c>
      <c r="B85" t="s">
        <v>55</v>
      </c>
      <c r="C85" t="s">
        <v>500</v>
      </c>
      <c r="D85">
        <v>0.20200000000000001</v>
      </c>
      <c r="E85">
        <f t="shared" si="11"/>
        <v>0.26866000000000001</v>
      </c>
      <c r="F85">
        <f t="shared" si="12"/>
        <v>0.26332696483791251</v>
      </c>
      <c r="G85">
        <f t="shared" si="13"/>
        <v>0.2630111146482309</v>
      </c>
      <c r="H85">
        <f>G85*1.002^4</f>
        <v>0.26512152425273211</v>
      </c>
      <c r="I85">
        <f t="shared" si="14"/>
        <v>0.25855943595324793</v>
      </c>
      <c r="J85">
        <f t="shared" si="15"/>
        <v>0.25817182943300987</v>
      </c>
      <c r="K85">
        <f>J85*1.002^5</f>
        <v>0.26076389527492566</v>
      </c>
    </row>
    <row r="86" spans="1:11" x14ac:dyDescent="0.25">
      <c r="A86" t="s">
        <v>30</v>
      </c>
      <c r="B86" t="s">
        <v>55</v>
      </c>
      <c r="C86" t="s">
        <v>504</v>
      </c>
      <c r="D86">
        <v>0.20200000000000001</v>
      </c>
      <c r="E86">
        <f t="shared" si="11"/>
        <v>0.26866000000000001</v>
      </c>
      <c r="F86">
        <f t="shared" si="12"/>
        <v>0.26332696483791251</v>
      </c>
      <c r="G86">
        <f t="shared" si="13"/>
        <v>0.2630111146482309</v>
      </c>
      <c r="I86">
        <f t="shared" si="14"/>
        <v>0</v>
      </c>
      <c r="J86">
        <f t="shared" si="15"/>
        <v>0</v>
      </c>
    </row>
    <row r="87" spans="1:11" x14ac:dyDescent="0.25">
      <c r="A87" t="s">
        <v>4</v>
      </c>
      <c r="B87" t="s">
        <v>48</v>
      </c>
      <c r="C87" t="s">
        <v>502</v>
      </c>
      <c r="D87">
        <v>0.20200000000000001</v>
      </c>
      <c r="E87">
        <f t="shared" si="11"/>
        <v>0.32239200000000001</v>
      </c>
      <c r="F87">
        <f t="shared" si="12"/>
        <v>0.31599235780549501</v>
      </c>
      <c r="G87">
        <f t="shared" si="13"/>
        <v>0.31561333757787707</v>
      </c>
      <c r="H87">
        <f>G87*1.002^4</f>
        <v>0.31814582910327854</v>
      </c>
      <c r="I87">
        <f t="shared" si="14"/>
        <v>0.31027132314389755</v>
      </c>
      <c r="J87">
        <f t="shared" si="15"/>
        <v>0.3098061953196119</v>
      </c>
    </row>
    <row r="88" spans="1:11" x14ac:dyDescent="0.25">
      <c r="A88" t="s">
        <v>30</v>
      </c>
      <c r="B88" t="s">
        <v>55</v>
      </c>
      <c r="C88" t="s">
        <v>502</v>
      </c>
      <c r="D88">
        <v>0.20200000000000001</v>
      </c>
      <c r="E88">
        <f t="shared" si="11"/>
        <v>0.26866000000000001</v>
      </c>
      <c r="F88">
        <f t="shared" si="12"/>
        <v>0.26332696483791251</v>
      </c>
      <c r="G88">
        <f t="shared" si="13"/>
        <v>0.2630111146482309</v>
      </c>
      <c r="H88">
        <f>G88*1.002^4</f>
        <v>0.26512152425273211</v>
      </c>
      <c r="I88">
        <f t="shared" si="14"/>
        <v>0.25855943595324793</v>
      </c>
      <c r="J88">
        <f t="shared" si="15"/>
        <v>0.25817182943300987</v>
      </c>
    </row>
    <row r="89" spans="1:11" x14ac:dyDescent="0.25">
      <c r="A89" t="s">
        <v>53</v>
      </c>
      <c r="B89" t="s">
        <v>48</v>
      </c>
      <c r="C89" t="s">
        <v>504</v>
      </c>
      <c r="D89">
        <v>0.191</v>
      </c>
      <c r="E89">
        <f t="shared" si="11"/>
        <v>0.304836</v>
      </c>
      <c r="F89">
        <f t="shared" si="12"/>
        <v>0.29878485317252251</v>
      </c>
      <c r="G89">
        <f t="shared" si="13"/>
        <v>0.29842647266026989</v>
      </c>
      <c r="I89">
        <f t="shared" si="14"/>
        <v>0</v>
      </c>
      <c r="J89">
        <f t="shared" si="15"/>
        <v>0</v>
      </c>
    </row>
    <row r="90" spans="1:11" x14ac:dyDescent="0.25">
      <c r="A90" t="s">
        <v>47</v>
      </c>
      <c r="B90" t="s">
        <v>48</v>
      </c>
      <c r="C90" t="s">
        <v>504</v>
      </c>
      <c r="D90">
        <v>0.191</v>
      </c>
      <c r="E90">
        <f t="shared" si="11"/>
        <v>0.304836</v>
      </c>
      <c r="F90">
        <f t="shared" si="12"/>
        <v>0.29878485317252251</v>
      </c>
      <c r="G90">
        <f t="shared" si="13"/>
        <v>0.29842647266026989</v>
      </c>
      <c r="I90">
        <f t="shared" si="14"/>
        <v>0</v>
      </c>
      <c r="J90">
        <f t="shared" si="15"/>
        <v>0</v>
      </c>
    </row>
    <row r="91" spans="1:11" x14ac:dyDescent="0.25">
      <c r="A91" t="s">
        <v>4</v>
      </c>
      <c r="B91" t="s">
        <v>55</v>
      </c>
      <c r="C91" t="s">
        <v>505</v>
      </c>
      <c r="D91">
        <v>0.187</v>
      </c>
      <c r="E91">
        <f t="shared" si="11"/>
        <v>0.24871000000000001</v>
      </c>
      <c r="F91">
        <f t="shared" si="12"/>
        <v>0.24377298230044378</v>
      </c>
      <c r="G91">
        <f t="shared" si="13"/>
        <v>0.2434805863327682</v>
      </c>
      <c r="I91">
        <f t="shared" si="14"/>
        <v>0</v>
      </c>
      <c r="J91">
        <f t="shared" si="15"/>
        <v>0</v>
      </c>
    </row>
    <row r="92" spans="1:11" x14ac:dyDescent="0.25">
      <c r="A92" t="s">
        <v>34</v>
      </c>
      <c r="B92" t="s">
        <v>55</v>
      </c>
      <c r="C92" t="s">
        <v>505</v>
      </c>
      <c r="D92">
        <v>0.187</v>
      </c>
      <c r="E92">
        <f t="shared" si="11"/>
        <v>0.24871000000000001</v>
      </c>
      <c r="F92">
        <f t="shared" si="12"/>
        <v>0.24377298230044378</v>
      </c>
      <c r="G92">
        <f t="shared" si="13"/>
        <v>0.2434805863327682</v>
      </c>
      <c r="I92">
        <f t="shared" si="14"/>
        <v>0</v>
      </c>
      <c r="J92">
        <f t="shared" si="15"/>
        <v>0</v>
      </c>
    </row>
    <row r="93" spans="1:11" x14ac:dyDescent="0.25">
      <c r="A93" t="s">
        <v>40</v>
      </c>
      <c r="B93" t="s">
        <v>55</v>
      </c>
      <c r="C93" t="s">
        <v>505</v>
      </c>
      <c r="D93">
        <v>0.187</v>
      </c>
      <c r="E93">
        <f t="shared" si="11"/>
        <v>0.24871000000000001</v>
      </c>
      <c r="F93">
        <f t="shared" si="12"/>
        <v>0.24377298230044378</v>
      </c>
      <c r="G93">
        <f t="shared" si="13"/>
        <v>0.2434805863327682</v>
      </c>
      <c r="I93">
        <f t="shared" si="14"/>
        <v>0</v>
      </c>
      <c r="J93">
        <f t="shared" si="15"/>
        <v>0</v>
      </c>
    </row>
    <row r="94" spans="1:11" x14ac:dyDescent="0.25">
      <c r="A94" t="s">
        <v>53</v>
      </c>
      <c r="B94" t="s">
        <v>55</v>
      </c>
      <c r="C94" t="s">
        <v>505</v>
      </c>
      <c r="D94">
        <v>0.187</v>
      </c>
      <c r="E94">
        <f t="shared" si="11"/>
        <v>0.24871000000000001</v>
      </c>
      <c r="F94">
        <f t="shared" si="12"/>
        <v>0.24377298230044378</v>
      </c>
      <c r="G94">
        <f t="shared" si="13"/>
        <v>0.2434805863327682</v>
      </c>
      <c r="I94">
        <f t="shared" si="14"/>
        <v>0</v>
      </c>
      <c r="J94">
        <f t="shared" si="15"/>
        <v>0</v>
      </c>
    </row>
    <row r="95" spans="1:11" x14ac:dyDescent="0.25">
      <c r="A95" t="s">
        <v>45</v>
      </c>
      <c r="B95" t="s">
        <v>55</v>
      </c>
      <c r="C95" t="s">
        <v>505</v>
      </c>
      <c r="D95">
        <v>0.187</v>
      </c>
      <c r="E95">
        <f t="shared" si="11"/>
        <v>0.24871000000000001</v>
      </c>
      <c r="F95">
        <f t="shared" si="12"/>
        <v>0.24377298230044378</v>
      </c>
      <c r="G95">
        <f t="shared" si="13"/>
        <v>0.2434805863327682</v>
      </c>
      <c r="I95">
        <f t="shared" si="14"/>
        <v>0</v>
      </c>
      <c r="J95">
        <f t="shared" si="15"/>
        <v>0</v>
      </c>
    </row>
    <row r="96" spans="1:11" x14ac:dyDescent="0.25">
      <c r="A96" t="s">
        <v>46</v>
      </c>
      <c r="B96" t="s">
        <v>55</v>
      </c>
      <c r="C96" t="s">
        <v>505</v>
      </c>
      <c r="D96">
        <v>0.187</v>
      </c>
      <c r="E96">
        <f t="shared" si="11"/>
        <v>0.24871000000000001</v>
      </c>
      <c r="F96">
        <f t="shared" si="12"/>
        <v>0.24377298230044378</v>
      </c>
      <c r="G96">
        <f t="shared" si="13"/>
        <v>0.2434805863327682</v>
      </c>
      <c r="I96">
        <f t="shared" si="14"/>
        <v>0</v>
      </c>
      <c r="J96">
        <f t="shared" si="15"/>
        <v>0</v>
      </c>
    </row>
    <row r="97" spans="1:11" x14ac:dyDescent="0.25">
      <c r="A97" t="s">
        <v>47</v>
      </c>
      <c r="B97" t="s">
        <v>55</v>
      </c>
      <c r="C97" t="s">
        <v>505</v>
      </c>
      <c r="D97">
        <v>0.187</v>
      </c>
      <c r="E97">
        <f t="shared" si="11"/>
        <v>0.24871000000000001</v>
      </c>
      <c r="F97">
        <f t="shared" si="12"/>
        <v>0.24377298230044378</v>
      </c>
      <c r="G97">
        <f t="shared" si="13"/>
        <v>0.2434805863327682</v>
      </c>
      <c r="I97">
        <f t="shared" si="14"/>
        <v>0</v>
      </c>
      <c r="J97">
        <f t="shared" si="15"/>
        <v>0</v>
      </c>
    </row>
    <row r="98" spans="1:11" x14ac:dyDescent="0.25">
      <c r="A98" t="s">
        <v>46</v>
      </c>
      <c r="B98" t="s">
        <v>48</v>
      </c>
      <c r="C98" t="s">
        <v>501</v>
      </c>
      <c r="D98">
        <v>0.187</v>
      </c>
      <c r="E98">
        <f t="shared" si="11"/>
        <v>0.298452</v>
      </c>
      <c r="F98">
        <f t="shared" si="12"/>
        <v>0.29252757876053254</v>
      </c>
      <c r="G98">
        <f t="shared" si="13"/>
        <v>0.29217670359932185</v>
      </c>
      <c r="H98">
        <f>G98*1.002^4</f>
        <v>0.29452113882333214</v>
      </c>
      <c r="I98">
        <f t="shared" si="14"/>
        <v>0.28723137340548932</v>
      </c>
      <c r="J98">
        <f t="shared" si="15"/>
        <v>0.28680078477607635</v>
      </c>
      <c r="K98">
        <f>J98*1.002^5</f>
        <v>0.28968028762224418</v>
      </c>
    </row>
    <row r="99" spans="1:11" x14ac:dyDescent="0.25">
      <c r="A99" t="s">
        <v>46</v>
      </c>
      <c r="B99" t="s">
        <v>48</v>
      </c>
      <c r="C99" t="s">
        <v>502</v>
      </c>
      <c r="D99">
        <v>0.187</v>
      </c>
      <c r="E99">
        <f t="shared" si="11"/>
        <v>0.298452</v>
      </c>
      <c r="F99">
        <f t="shared" si="12"/>
        <v>0.29252757876053254</v>
      </c>
      <c r="G99">
        <f t="shared" si="13"/>
        <v>0.29217670359932185</v>
      </c>
      <c r="H99">
        <f>G99*1.002^4</f>
        <v>0.29452113882333214</v>
      </c>
      <c r="I99">
        <f t="shared" si="14"/>
        <v>0.28723137340548932</v>
      </c>
      <c r="J99">
        <f t="shared" si="15"/>
        <v>0.28680078477607635</v>
      </c>
    </row>
    <row r="100" spans="1:11" x14ac:dyDescent="0.25">
      <c r="A100" t="s">
        <v>34</v>
      </c>
      <c r="B100" t="s">
        <v>48</v>
      </c>
      <c r="C100" t="s">
        <v>503</v>
      </c>
      <c r="D100">
        <v>0.184</v>
      </c>
      <c r="E100">
        <f t="shared" si="11"/>
        <v>0.29366400000000004</v>
      </c>
      <c r="F100">
        <f t="shared" si="12"/>
        <v>0.28783462295154005</v>
      </c>
      <c r="G100">
        <f t="shared" si="13"/>
        <v>0.28748937680361081</v>
      </c>
      <c r="I100">
        <f t="shared" si="14"/>
        <v>0</v>
      </c>
      <c r="J100">
        <f t="shared" si="15"/>
        <v>0</v>
      </c>
    </row>
    <row r="101" spans="1:11" x14ac:dyDescent="0.25">
      <c r="A101" t="s">
        <v>34</v>
      </c>
      <c r="B101" t="s">
        <v>48</v>
      </c>
      <c r="C101" t="s">
        <v>502</v>
      </c>
      <c r="D101">
        <v>0.18099999999999999</v>
      </c>
      <c r="E101">
        <f t="shared" si="11"/>
        <v>0.28887599999999997</v>
      </c>
      <c r="F101">
        <f t="shared" si="12"/>
        <v>0.28314166714254746</v>
      </c>
      <c r="G101">
        <f t="shared" si="13"/>
        <v>0.28280205000789971</v>
      </c>
      <c r="H101">
        <f>G101*1.002^4</f>
        <v>0.28507126271135347</v>
      </c>
      <c r="I101">
        <f t="shared" si="14"/>
        <v>0.27801539351012594</v>
      </c>
      <c r="J101">
        <f t="shared" si="15"/>
        <v>0.27759862055866208</v>
      </c>
    </row>
    <row r="102" spans="1:11" x14ac:dyDescent="0.25">
      <c r="A102" t="s">
        <v>40</v>
      </c>
      <c r="B102" t="s">
        <v>48</v>
      </c>
      <c r="C102" t="s">
        <v>505</v>
      </c>
      <c r="D102">
        <v>0.17</v>
      </c>
      <c r="E102">
        <f t="shared" si="11"/>
        <v>0.27132000000000006</v>
      </c>
      <c r="F102">
        <f t="shared" si="12"/>
        <v>0.26593416250957508</v>
      </c>
      <c r="G102">
        <f t="shared" si="13"/>
        <v>0.26561518509029264</v>
      </c>
      <c r="I102">
        <f t="shared" si="14"/>
        <v>0</v>
      </c>
      <c r="J102">
        <f t="shared" si="15"/>
        <v>0</v>
      </c>
    </row>
    <row r="103" spans="1:11" x14ac:dyDescent="0.25">
      <c r="A103" t="s">
        <v>46</v>
      </c>
      <c r="B103" t="s">
        <v>57</v>
      </c>
      <c r="C103" t="s">
        <v>507</v>
      </c>
      <c r="D103">
        <v>0.16700000000000001</v>
      </c>
      <c r="E103">
        <f t="shared" si="11"/>
        <v>0.16700000000000001</v>
      </c>
      <c r="F103">
        <f t="shared" si="12"/>
        <v>0.16368496660437501</v>
      </c>
      <c r="G103">
        <f t="shared" si="13"/>
        <v>0.16348863301665509</v>
      </c>
      <c r="H103">
        <f>G103</f>
        <v>0.16348863301665509</v>
      </c>
      <c r="I103">
        <f t="shared" si="14"/>
        <v>0.1594420854990927</v>
      </c>
      <c r="J103">
        <f t="shared" si="15"/>
        <v>0.15920306582567811</v>
      </c>
      <c r="K103">
        <f>J103</f>
        <v>0.15920306582567811</v>
      </c>
    </row>
    <row r="104" spans="1:11" x14ac:dyDescent="0.25">
      <c r="A104" t="s">
        <v>4</v>
      </c>
      <c r="B104" t="s">
        <v>55</v>
      </c>
      <c r="C104" t="s">
        <v>504</v>
      </c>
      <c r="D104">
        <v>0.16200000000000001</v>
      </c>
      <c r="E104">
        <f t="shared" si="11"/>
        <v>0.21546000000000001</v>
      </c>
      <c r="F104">
        <f t="shared" si="12"/>
        <v>0.21118301140466253</v>
      </c>
      <c r="G104">
        <f t="shared" si="13"/>
        <v>0.21092970580699708</v>
      </c>
      <c r="I104">
        <f t="shared" si="14"/>
        <v>0</v>
      </c>
      <c r="J104">
        <f t="shared" si="15"/>
        <v>0</v>
      </c>
    </row>
    <row r="105" spans="1:11" x14ac:dyDescent="0.25">
      <c r="A105" t="s">
        <v>34</v>
      </c>
      <c r="B105" t="s">
        <v>55</v>
      </c>
      <c r="C105" t="s">
        <v>504</v>
      </c>
      <c r="D105">
        <v>0.16200000000000001</v>
      </c>
      <c r="E105">
        <f t="shared" si="11"/>
        <v>0.21546000000000001</v>
      </c>
      <c r="F105">
        <f t="shared" si="12"/>
        <v>0.21118301140466253</v>
      </c>
      <c r="G105">
        <f t="shared" si="13"/>
        <v>0.21092970580699708</v>
      </c>
      <c r="I105">
        <f t="shared" si="14"/>
        <v>0</v>
      </c>
      <c r="J105">
        <f t="shared" si="15"/>
        <v>0</v>
      </c>
    </row>
    <row r="106" spans="1:11" x14ac:dyDescent="0.25">
      <c r="A106" t="s">
        <v>40</v>
      </c>
      <c r="B106" t="s">
        <v>55</v>
      </c>
      <c r="C106" t="s">
        <v>504</v>
      </c>
      <c r="D106">
        <v>0.16200000000000001</v>
      </c>
      <c r="E106">
        <f t="shared" si="11"/>
        <v>0.21546000000000001</v>
      </c>
      <c r="F106">
        <f t="shared" si="12"/>
        <v>0.21118301140466253</v>
      </c>
      <c r="G106">
        <f t="shared" si="13"/>
        <v>0.21092970580699708</v>
      </c>
      <c r="I106">
        <f t="shared" si="14"/>
        <v>0</v>
      </c>
      <c r="J106">
        <f t="shared" si="15"/>
        <v>0</v>
      </c>
    </row>
    <row r="107" spans="1:11" x14ac:dyDescent="0.25">
      <c r="A107" t="s">
        <v>53</v>
      </c>
      <c r="B107" t="s">
        <v>55</v>
      </c>
      <c r="C107" t="s">
        <v>504</v>
      </c>
      <c r="D107">
        <v>0.16200000000000001</v>
      </c>
      <c r="E107">
        <f t="shared" si="11"/>
        <v>0.21546000000000001</v>
      </c>
      <c r="F107">
        <f t="shared" si="12"/>
        <v>0.21118301140466253</v>
      </c>
      <c r="G107">
        <f t="shared" si="13"/>
        <v>0.21092970580699708</v>
      </c>
      <c r="I107">
        <f t="shared" si="14"/>
        <v>0</v>
      </c>
      <c r="J107">
        <f t="shared" si="15"/>
        <v>0</v>
      </c>
    </row>
    <row r="108" spans="1:11" x14ac:dyDescent="0.25">
      <c r="A108" t="s">
        <v>45</v>
      </c>
      <c r="B108" t="s">
        <v>55</v>
      </c>
      <c r="C108" t="s">
        <v>504</v>
      </c>
      <c r="D108">
        <v>0.16200000000000001</v>
      </c>
      <c r="E108">
        <f t="shared" si="11"/>
        <v>0.21546000000000001</v>
      </c>
      <c r="F108">
        <f t="shared" si="12"/>
        <v>0.21118301140466253</v>
      </c>
      <c r="G108">
        <f t="shared" si="13"/>
        <v>0.21092970580699708</v>
      </c>
      <c r="I108">
        <f t="shared" si="14"/>
        <v>0</v>
      </c>
      <c r="J108">
        <f t="shared" si="15"/>
        <v>0</v>
      </c>
    </row>
    <row r="109" spans="1:11" x14ac:dyDescent="0.25">
      <c r="A109" t="s">
        <v>46</v>
      </c>
      <c r="B109" t="s">
        <v>55</v>
      </c>
      <c r="C109" t="s">
        <v>504</v>
      </c>
      <c r="D109">
        <v>0.16200000000000001</v>
      </c>
      <c r="E109">
        <f t="shared" si="11"/>
        <v>0.21546000000000001</v>
      </c>
      <c r="F109">
        <f t="shared" si="12"/>
        <v>0.21118301140466253</v>
      </c>
      <c r="G109">
        <f t="shared" si="13"/>
        <v>0.21092970580699708</v>
      </c>
      <c r="I109">
        <f t="shared" si="14"/>
        <v>0</v>
      </c>
      <c r="J109">
        <f t="shared" si="15"/>
        <v>0</v>
      </c>
    </row>
    <row r="110" spans="1:11" x14ac:dyDescent="0.25">
      <c r="A110" t="s">
        <v>47</v>
      </c>
      <c r="B110" t="s">
        <v>55</v>
      </c>
      <c r="C110" t="s">
        <v>504</v>
      </c>
      <c r="D110">
        <v>0.16200000000000001</v>
      </c>
      <c r="E110">
        <f t="shared" si="11"/>
        <v>0.21546000000000001</v>
      </c>
      <c r="F110">
        <f t="shared" si="12"/>
        <v>0.21118301140466253</v>
      </c>
      <c r="G110">
        <f t="shared" si="13"/>
        <v>0.21092970580699708</v>
      </c>
      <c r="I110">
        <f t="shared" si="14"/>
        <v>0</v>
      </c>
      <c r="J110">
        <f t="shared" si="15"/>
        <v>0</v>
      </c>
    </row>
    <row r="111" spans="1:11" x14ac:dyDescent="0.25">
      <c r="A111" t="s">
        <v>53</v>
      </c>
      <c r="B111" t="s">
        <v>48</v>
      </c>
      <c r="C111" t="s">
        <v>501</v>
      </c>
      <c r="D111">
        <v>0.155</v>
      </c>
      <c r="E111">
        <f t="shared" si="11"/>
        <v>0.24738000000000002</v>
      </c>
      <c r="F111">
        <f t="shared" si="12"/>
        <v>0.24246938346461253</v>
      </c>
      <c r="G111">
        <f t="shared" si="13"/>
        <v>0.24217855111173736</v>
      </c>
      <c r="H111">
        <f>G111*1.002^4</f>
        <v>0.24412179955944641</v>
      </c>
      <c r="I111">
        <f t="shared" si="14"/>
        <v>0.23807948063021842</v>
      </c>
      <c r="J111">
        <f t="shared" si="15"/>
        <v>0.23772257561653387</v>
      </c>
      <c r="K111">
        <f>J111*1.002^5</f>
        <v>0.24010932931255533</v>
      </c>
    </row>
    <row r="112" spans="1:11" x14ac:dyDescent="0.25">
      <c r="A112" t="s">
        <v>47</v>
      </c>
      <c r="B112" t="s">
        <v>48</v>
      </c>
      <c r="C112" t="s">
        <v>501</v>
      </c>
      <c r="D112">
        <v>0.155</v>
      </c>
      <c r="E112">
        <f t="shared" si="11"/>
        <v>0.24738000000000002</v>
      </c>
      <c r="F112">
        <f t="shared" si="12"/>
        <v>0.24246938346461253</v>
      </c>
      <c r="G112">
        <f t="shared" si="13"/>
        <v>0.24217855111173736</v>
      </c>
      <c r="H112">
        <f>G112*1.002^4</f>
        <v>0.24412179955944641</v>
      </c>
      <c r="I112">
        <f t="shared" si="14"/>
        <v>0.23807948063021842</v>
      </c>
      <c r="J112">
        <f t="shared" si="15"/>
        <v>0.23772257561653387</v>
      </c>
      <c r="K112">
        <f>J112*1.002^5</f>
        <v>0.24010932931255533</v>
      </c>
    </row>
    <row r="113" spans="1:11" x14ac:dyDescent="0.25">
      <c r="A113" t="s">
        <v>53</v>
      </c>
      <c r="B113" t="s">
        <v>48</v>
      </c>
      <c r="C113" t="s">
        <v>502</v>
      </c>
      <c r="D113">
        <v>0.155</v>
      </c>
      <c r="E113">
        <f t="shared" si="11"/>
        <v>0.24738000000000002</v>
      </c>
      <c r="F113">
        <f t="shared" si="12"/>
        <v>0.24246938346461253</v>
      </c>
      <c r="G113">
        <f t="shared" si="13"/>
        <v>0.24217855111173736</v>
      </c>
      <c r="H113">
        <f>G113*1.002^4</f>
        <v>0.24412179955944641</v>
      </c>
      <c r="I113">
        <f t="shared" si="14"/>
        <v>0.23807948063021842</v>
      </c>
      <c r="J113">
        <f t="shared" si="15"/>
        <v>0.23772257561653387</v>
      </c>
    </row>
    <row r="114" spans="1:11" x14ac:dyDescent="0.25">
      <c r="A114" t="s">
        <v>47</v>
      </c>
      <c r="B114" t="s">
        <v>48</v>
      </c>
      <c r="C114" t="s">
        <v>502</v>
      </c>
      <c r="D114">
        <v>0.155</v>
      </c>
      <c r="E114">
        <f t="shared" si="11"/>
        <v>0.24738000000000002</v>
      </c>
      <c r="F114">
        <f t="shared" si="12"/>
        <v>0.24246938346461253</v>
      </c>
      <c r="G114">
        <f t="shared" si="13"/>
        <v>0.24217855111173736</v>
      </c>
      <c r="H114">
        <f>G114*1.002^4</f>
        <v>0.24412179955944641</v>
      </c>
      <c r="I114">
        <f t="shared" si="14"/>
        <v>0.23807948063021842</v>
      </c>
      <c r="J114">
        <f t="shared" si="15"/>
        <v>0.23772257561653387</v>
      </c>
    </row>
    <row r="115" spans="1:11" x14ac:dyDescent="0.25">
      <c r="A115" t="s">
        <v>46</v>
      </c>
      <c r="B115" t="s">
        <v>57</v>
      </c>
      <c r="C115" t="s">
        <v>506</v>
      </c>
      <c r="D115">
        <v>0.14899999999999999</v>
      </c>
      <c r="E115">
        <f t="shared" si="11"/>
        <v>0.14899999999999999</v>
      </c>
      <c r="F115">
        <f t="shared" si="12"/>
        <v>0.14604227559312499</v>
      </c>
      <c r="G115">
        <f t="shared" si="13"/>
        <v>0.1458671037094707</v>
      </c>
      <c r="H115">
        <f>G115</f>
        <v>0.1458671037094707</v>
      </c>
      <c r="I115">
        <f t="shared" si="14"/>
        <v>0.14225671101416054</v>
      </c>
      <c r="J115">
        <f t="shared" si="15"/>
        <v>0.14204345394027568</v>
      </c>
      <c r="K115">
        <f>J115</f>
        <v>0.14204345394027568</v>
      </c>
    </row>
    <row r="116" spans="1:11" x14ac:dyDescent="0.25">
      <c r="A116" t="s">
        <v>45</v>
      </c>
      <c r="B116" t="s">
        <v>48</v>
      </c>
      <c r="C116" t="s">
        <v>504</v>
      </c>
      <c r="D116">
        <v>0.14899999999999999</v>
      </c>
      <c r="E116">
        <f t="shared" si="11"/>
        <v>0.23780399999999999</v>
      </c>
      <c r="F116">
        <f t="shared" si="12"/>
        <v>0.2330834718466275</v>
      </c>
      <c r="G116">
        <f t="shared" si="13"/>
        <v>0.23280389752031524</v>
      </c>
      <c r="I116">
        <f t="shared" si="14"/>
        <v>0</v>
      </c>
      <c r="J116">
        <f t="shared" si="15"/>
        <v>0</v>
      </c>
    </row>
    <row r="117" spans="1:11" x14ac:dyDescent="0.25">
      <c r="A117" t="s">
        <v>45</v>
      </c>
      <c r="B117" t="s">
        <v>48</v>
      </c>
      <c r="C117" t="s">
        <v>501</v>
      </c>
      <c r="D117">
        <v>0.13900000000000001</v>
      </c>
      <c r="E117">
        <f t="shared" si="11"/>
        <v>0.22184400000000001</v>
      </c>
      <c r="F117">
        <f t="shared" si="12"/>
        <v>0.21744028581665253</v>
      </c>
      <c r="G117">
        <f t="shared" si="13"/>
        <v>0.21717947486794514</v>
      </c>
      <c r="H117">
        <f>G117*1.002^4</f>
        <v>0.21892212992750357</v>
      </c>
      <c r="I117">
        <f t="shared" si="14"/>
        <v>0.21350353424258298</v>
      </c>
      <c r="J117">
        <f t="shared" si="15"/>
        <v>0.21318347103676263</v>
      </c>
      <c r="K117">
        <f>J117*1.002^5</f>
        <v>0.21532385015771091</v>
      </c>
    </row>
    <row r="118" spans="1:11" x14ac:dyDescent="0.25">
      <c r="A118" t="s">
        <v>45</v>
      </c>
      <c r="B118" t="s">
        <v>48</v>
      </c>
      <c r="C118" t="s">
        <v>502</v>
      </c>
      <c r="D118">
        <v>0.13900000000000001</v>
      </c>
      <c r="E118">
        <f t="shared" si="11"/>
        <v>0.22184400000000001</v>
      </c>
      <c r="F118">
        <f t="shared" si="12"/>
        <v>0.21744028581665253</v>
      </c>
      <c r="G118">
        <f t="shared" si="13"/>
        <v>0.21717947486794514</v>
      </c>
      <c r="H118">
        <f>G118*1.002^4</f>
        <v>0.21892212992750357</v>
      </c>
      <c r="I118">
        <f t="shared" si="14"/>
        <v>0.21350353424258298</v>
      </c>
      <c r="J118">
        <f t="shared" si="15"/>
        <v>0.21318347103676263</v>
      </c>
    </row>
    <row r="119" spans="1:11" x14ac:dyDescent="0.25">
      <c r="A119" t="s">
        <v>53</v>
      </c>
      <c r="B119" t="s">
        <v>57</v>
      </c>
      <c r="C119" t="s">
        <v>505</v>
      </c>
      <c r="D119">
        <v>0.129</v>
      </c>
      <c r="E119">
        <f t="shared" si="11"/>
        <v>0.129</v>
      </c>
      <c r="F119">
        <f t="shared" si="12"/>
        <v>0.126439285580625</v>
      </c>
      <c r="G119">
        <f t="shared" si="13"/>
        <v>0.12628762670148808</v>
      </c>
      <c r="I119">
        <f t="shared" si="14"/>
        <v>0</v>
      </c>
      <c r="J119">
        <f t="shared" si="15"/>
        <v>0</v>
      </c>
    </row>
    <row r="120" spans="1:11" x14ac:dyDescent="0.25">
      <c r="A120" t="s">
        <v>47</v>
      </c>
      <c r="B120" t="s">
        <v>57</v>
      </c>
      <c r="C120" t="s">
        <v>505</v>
      </c>
      <c r="D120">
        <v>0.129</v>
      </c>
      <c r="E120">
        <f t="shared" si="11"/>
        <v>0.129</v>
      </c>
      <c r="F120">
        <f t="shared" si="12"/>
        <v>0.126439285580625</v>
      </c>
      <c r="G120">
        <f t="shared" si="13"/>
        <v>0.12628762670148808</v>
      </c>
      <c r="I120">
        <f t="shared" si="14"/>
        <v>0</v>
      </c>
      <c r="J120">
        <f t="shared" si="15"/>
        <v>0</v>
      </c>
    </row>
    <row r="121" spans="1:11" x14ac:dyDescent="0.25">
      <c r="A121" t="s">
        <v>4</v>
      </c>
      <c r="B121" t="s">
        <v>48</v>
      </c>
      <c r="C121" t="s">
        <v>501</v>
      </c>
      <c r="D121">
        <v>0.128</v>
      </c>
      <c r="E121">
        <f t="shared" si="11"/>
        <v>0.204288</v>
      </c>
      <c r="F121">
        <f t="shared" si="12"/>
        <v>0.20023278118368001</v>
      </c>
      <c r="G121">
        <f t="shared" si="13"/>
        <v>0.19999260995033794</v>
      </c>
      <c r="H121">
        <f>G121*1.002^4</f>
        <v>0.20159735705554283</v>
      </c>
      <c r="I121">
        <f t="shared" si="14"/>
        <v>0.19660757110108359</v>
      </c>
      <c r="J121">
        <f t="shared" si="15"/>
        <v>0.1963128366381699</v>
      </c>
      <c r="K121">
        <f>J121*1.002^5</f>
        <v>0.19828383323875537</v>
      </c>
    </row>
    <row r="122" spans="1:11" x14ac:dyDescent="0.25">
      <c r="A122" t="s">
        <v>4</v>
      </c>
      <c r="B122" t="s">
        <v>48</v>
      </c>
      <c r="C122" t="s">
        <v>500</v>
      </c>
      <c r="D122">
        <v>0.128</v>
      </c>
      <c r="E122">
        <f t="shared" si="11"/>
        <v>0.204288</v>
      </c>
      <c r="F122">
        <f t="shared" si="12"/>
        <v>0.20023278118368001</v>
      </c>
      <c r="G122">
        <f t="shared" si="13"/>
        <v>0.19999260995033794</v>
      </c>
      <c r="H122">
        <f>G122*1.002^4</f>
        <v>0.20159735705554283</v>
      </c>
      <c r="I122">
        <f t="shared" si="14"/>
        <v>0.19660757110108359</v>
      </c>
      <c r="J122">
        <f t="shared" si="15"/>
        <v>0.1963128366381699</v>
      </c>
      <c r="K122">
        <f>J122*1.002^5</f>
        <v>0.19828383323875537</v>
      </c>
    </row>
    <row r="123" spans="1:11" x14ac:dyDescent="0.25">
      <c r="A123" t="s">
        <v>4</v>
      </c>
      <c r="B123" t="s">
        <v>55</v>
      </c>
      <c r="C123" t="s">
        <v>503</v>
      </c>
      <c r="D123">
        <v>0.125</v>
      </c>
      <c r="E123">
        <f t="shared" si="11"/>
        <v>0.16625000000000001</v>
      </c>
      <c r="F123">
        <f t="shared" si="12"/>
        <v>0.16294985447890628</v>
      </c>
      <c r="G123">
        <f t="shared" si="13"/>
        <v>0.16275440262885577</v>
      </c>
      <c r="I123">
        <f t="shared" si="14"/>
        <v>0</v>
      </c>
      <c r="J123">
        <f t="shared" si="15"/>
        <v>0</v>
      </c>
    </row>
    <row r="124" spans="1:11" x14ac:dyDescent="0.25">
      <c r="A124" t="s">
        <v>34</v>
      </c>
      <c r="B124" t="s">
        <v>55</v>
      </c>
      <c r="C124" t="s">
        <v>503</v>
      </c>
      <c r="D124">
        <v>0.125</v>
      </c>
      <c r="E124">
        <f t="shared" si="11"/>
        <v>0.16625000000000001</v>
      </c>
      <c r="F124">
        <f t="shared" si="12"/>
        <v>0.16294985447890628</v>
      </c>
      <c r="G124">
        <f t="shared" si="13"/>
        <v>0.16275440262885577</v>
      </c>
      <c r="I124">
        <f t="shared" si="14"/>
        <v>0</v>
      </c>
      <c r="J124">
        <f t="shared" si="15"/>
        <v>0</v>
      </c>
    </row>
    <row r="125" spans="1:11" x14ac:dyDescent="0.25">
      <c r="A125" t="s">
        <v>40</v>
      </c>
      <c r="B125" t="s">
        <v>55</v>
      </c>
      <c r="C125" t="s">
        <v>503</v>
      </c>
      <c r="D125">
        <v>0.125</v>
      </c>
      <c r="E125">
        <f t="shared" si="11"/>
        <v>0.16625000000000001</v>
      </c>
      <c r="F125">
        <f t="shared" si="12"/>
        <v>0.16294985447890628</v>
      </c>
      <c r="G125">
        <f t="shared" si="13"/>
        <v>0.16275440262885577</v>
      </c>
      <c r="I125">
        <f t="shared" si="14"/>
        <v>0</v>
      </c>
      <c r="J125">
        <f t="shared" si="15"/>
        <v>0</v>
      </c>
    </row>
    <row r="126" spans="1:11" x14ac:dyDescent="0.25">
      <c r="A126" t="s">
        <v>53</v>
      </c>
      <c r="B126" t="s">
        <v>55</v>
      </c>
      <c r="C126" t="s">
        <v>503</v>
      </c>
      <c r="D126">
        <v>0.125</v>
      </c>
      <c r="E126">
        <f t="shared" si="11"/>
        <v>0.16625000000000001</v>
      </c>
      <c r="F126">
        <f t="shared" si="12"/>
        <v>0.16294985447890628</v>
      </c>
      <c r="G126">
        <f t="shared" si="13"/>
        <v>0.16275440262885577</v>
      </c>
      <c r="I126">
        <f t="shared" si="14"/>
        <v>0</v>
      </c>
      <c r="J126">
        <f t="shared" si="15"/>
        <v>0</v>
      </c>
    </row>
    <row r="127" spans="1:11" x14ac:dyDescent="0.25">
      <c r="A127" t="s">
        <v>45</v>
      </c>
      <c r="B127" t="s">
        <v>55</v>
      </c>
      <c r="C127" t="s">
        <v>503</v>
      </c>
      <c r="D127">
        <v>0.125</v>
      </c>
      <c r="E127">
        <f t="shared" si="11"/>
        <v>0.16625000000000001</v>
      </c>
      <c r="F127">
        <f t="shared" si="12"/>
        <v>0.16294985447890628</v>
      </c>
      <c r="G127">
        <f t="shared" si="13"/>
        <v>0.16275440262885577</v>
      </c>
      <c r="I127">
        <f t="shared" si="14"/>
        <v>0</v>
      </c>
      <c r="J127">
        <f t="shared" si="15"/>
        <v>0</v>
      </c>
    </row>
    <row r="128" spans="1:11" x14ac:dyDescent="0.25">
      <c r="A128" t="s">
        <v>46</v>
      </c>
      <c r="B128" t="s">
        <v>55</v>
      </c>
      <c r="C128" t="s">
        <v>503</v>
      </c>
      <c r="D128">
        <v>0.125</v>
      </c>
      <c r="E128">
        <f t="shared" si="11"/>
        <v>0.16625000000000001</v>
      </c>
      <c r="F128">
        <f t="shared" si="12"/>
        <v>0.16294985447890628</v>
      </c>
      <c r="G128">
        <f t="shared" si="13"/>
        <v>0.16275440262885577</v>
      </c>
      <c r="I128">
        <f t="shared" si="14"/>
        <v>0</v>
      </c>
      <c r="J128">
        <f t="shared" si="15"/>
        <v>0</v>
      </c>
    </row>
    <row r="129" spans="1:11" x14ac:dyDescent="0.25">
      <c r="A129" t="s">
        <v>47</v>
      </c>
      <c r="B129" t="s">
        <v>55</v>
      </c>
      <c r="C129" t="s">
        <v>503</v>
      </c>
      <c r="D129">
        <v>0.125</v>
      </c>
      <c r="E129">
        <f t="shared" si="11"/>
        <v>0.16625000000000001</v>
      </c>
      <c r="F129">
        <f t="shared" si="12"/>
        <v>0.16294985447890628</v>
      </c>
      <c r="G129">
        <f t="shared" si="13"/>
        <v>0.16275440262885577</v>
      </c>
      <c r="I129">
        <f t="shared" si="14"/>
        <v>0</v>
      </c>
      <c r="J129">
        <f t="shared" si="15"/>
        <v>0</v>
      </c>
    </row>
    <row r="130" spans="1:11" x14ac:dyDescent="0.25">
      <c r="A130" t="s">
        <v>45</v>
      </c>
      <c r="B130" t="s">
        <v>57</v>
      </c>
      <c r="C130" t="s">
        <v>507</v>
      </c>
      <c r="D130">
        <v>0.121</v>
      </c>
      <c r="E130">
        <f t="shared" si="11"/>
        <v>0.121</v>
      </c>
      <c r="F130">
        <f t="shared" si="12"/>
        <v>0.11859808957562501</v>
      </c>
      <c r="G130">
        <f t="shared" si="13"/>
        <v>0.11845583589829502</v>
      </c>
      <c r="H130">
        <f>G130</f>
        <v>0.11845583589829502</v>
      </c>
      <c r="I130">
        <f t="shared" si="14"/>
        <v>0.11552390625982166</v>
      </c>
      <c r="J130">
        <f t="shared" si="15"/>
        <v>0.1153507243407608</v>
      </c>
      <c r="K130">
        <f>J130</f>
        <v>0.1153507243407608</v>
      </c>
    </row>
    <row r="131" spans="1:11" x14ac:dyDescent="0.25">
      <c r="A131" t="s">
        <v>26</v>
      </c>
      <c r="B131" t="s">
        <v>55</v>
      </c>
      <c r="C131" t="s">
        <v>505</v>
      </c>
      <c r="D131">
        <v>0.11899999999999999</v>
      </c>
      <c r="E131">
        <f t="shared" ref="E131:E194" si="16">IF(B131="FUNGICIDES",D131*1,IF(B131="HERBICIDES",D131*1.2*1.33,IF(B131="GLYFOSAT",D131*1.33,IF(B131="INSECTICID",D131*1.33*2.5,"-"))))</f>
        <v>0.15826999999999999</v>
      </c>
      <c r="F131">
        <f t="shared" ref="F131:F194" si="17">E131*0.995^4</f>
        <v>0.15512826146391875</v>
      </c>
      <c r="G131">
        <f t="shared" ref="G131:G194" si="18">F131*0.9997^4</f>
        <v>0.15494219130267067</v>
      </c>
      <c r="I131">
        <f t="shared" ref="I131:I194" si="19">H131*0.995^5</f>
        <v>0</v>
      </c>
      <c r="J131">
        <f t="shared" ref="J131:J194" si="20">I131*0.9997^5</f>
        <v>0</v>
      </c>
    </row>
    <row r="132" spans="1:11" x14ac:dyDescent="0.25">
      <c r="A132" t="s">
        <v>28</v>
      </c>
      <c r="B132" t="s">
        <v>55</v>
      </c>
      <c r="C132" t="s">
        <v>505</v>
      </c>
      <c r="D132">
        <v>0.11899999999999999</v>
      </c>
      <c r="E132">
        <f t="shared" si="16"/>
        <v>0.15826999999999999</v>
      </c>
      <c r="F132">
        <f t="shared" si="17"/>
        <v>0.15512826146391875</v>
      </c>
      <c r="G132">
        <f t="shared" si="18"/>
        <v>0.15494219130267067</v>
      </c>
      <c r="I132">
        <f t="shared" si="19"/>
        <v>0</v>
      </c>
      <c r="J132">
        <f t="shared" si="20"/>
        <v>0</v>
      </c>
    </row>
    <row r="133" spans="1:11" x14ac:dyDescent="0.25">
      <c r="A133" t="s">
        <v>56</v>
      </c>
      <c r="B133" t="s">
        <v>55</v>
      </c>
      <c r="C133" t="s">
        <v>505</v>
      </c>
      <c r="D133">
        <v>0.11899999999999999</v>
      </c>
      <c r="E133">
        <f t="shared" si="16"/>
        <v>0.15826999999999999</v>
      </c>
      <c r="F133">
        <f t="shared" si="17"/>
        <v>0.15512826146391875</v>
      </c>
      <c r="G133">
        <f t="shared" si="18"/>
        <v>0.15494219130267067</v>
      </c>
      <c r="I133">
        <f t="shared" si="19"/>
        <v>0</v>
      </c>
      <c r="J133">
        <f t="shared" si="20"/>
        <v>0</v>
      </c>
    </row>
    <row r="134" spans="1:11" x14ac:dyDescent="0.25">
      <c r="A134" t="s">
        <v>35</v>
      </c>
      <c r="B134" t="s">
        <v>55</v>
      </c>
      <c r="C134" t="s">
        <v>505</v>
      </c>
      <c r="D134">
        <v>0.11899999999999999</v>
      </c>
      <c r="E134">
        <f t="shared" si="16"/>
        <v>0.15826999999999999</v>
      </c>
      <c r="F134">
        <f t="shared" si="17"/>
        <v>0.15512826146391875</v>
      </c>
      <c r="G134">
        <f t="shared" si="18"/>
        <v>0.15494219130267067</v>
      </c>
      <c r="I134">
        <f t="shared" si="19"/>
        <v>0</v>
      </c>
      <c r="J134">
        <f t="shared" si="20"/>
        <v>0</v>
      </c>
    </row>
    <row r="135" spans="1:11" x14ac:dyDescent="0.25">
      <c r="A135" t="s">
        <v>36</v>
      </c>
      <c r="B135" t="s">
        <v>55</v>
      </c>
      <c r="C135" t="s">
        <v>505</v>
      </c>
      <c r="D135">
        <v>0.11899999999999999</v>
      </c>
      <c r="E135">
        <f t="shared" si="16"/>
        <v>0.15826999999999999</v>
      </c>
      <c r="F135">
        <f t="shared" si="17"/>
        <v>0.15512826146391875</v>
      </c>
      <c r="G135">
        <f t="shared" si="18"/>
        <v>0.15494219130267067</v>
      </c>
      <c r="I135">
        <f t="shared" si="19"/>
        <v>0</v>
      </c>
      <c r="J135">
        <f t="shared" si="20"/>
        <v>0</v>
      </c>
    </row>
    <row r="136" spans="1:11" x14ac:dyDescent="0.25">
      <c r="A136" t="s">
        <v>4</v>
      </c>
      <c r="B136" t="s">
        <v>57</v>
      </c>
      <c r="C136" t="s">
        <v>507</v>
      </c>
      <c r="D136">
        <v>0.11899999999999999</v>
      </c>
      <c r="E136">
        <f t="shared" si="16"/>
        <v>0.11899999999999999</v>
      </c>
      <c r="F136">
        <f t="shared" si="17"/>
        <v>0.116637790574375</v>
      </c>
      <c r="G136">
        <f t="shared" si="18"/>
        <v>0.11649788819749674</v>
      </c>
      <c r="H136">
        <f>G136</f>
        <v>0.11649788819749674</v>
      </c>
      <c r="I136">
        <f t="shared" si="19"/>
        <v>0.1136144202059403</v>
      </c>
      <c r="J136">
        <f t="shared" si="20"/>
        <v>0.1134441007979383</v>
      </c>
      <c r="K136">
        <f>J136</f>
        <v>0.1134441007979383</v>
      </c>
    </row>
    <row r="137" spans="1:11" x14ac:dyDescent="0.25">
      <c r="A137" t="s">
        <v>34</v>
      </c>
      <c r="B137" t="s">
        <v>48</v>
      </c>
      <c r="C137" t="s">
        <v>501</v>
      </c>
      <c r="D137">
        <v>0.115</v>
      </c>
      <c r="E137">
        <f t="shared" si="16"/>
        <v>0.18354000000000004</v>
      </c>
      <c r="F137">
        <f t="shared" si="17"/>
        <v>0.17989663934471253</v>
      </c>
      <c r="G137">
        <f t="shared" si="18"/>
        <v>0.17968086050225676</v>
      </c>
      <c r="H137">
        <f>G137*1.002^4</f>
        <v>0.18112262547958927</v>
      </c>
      <c r="I137">
        <f t="shared" si="19"/>
        <v>0.17663961466112979</v>
      </c>
      <c r="J137">
        <f t="shared" si="20"/>
        <v>0.17637481416710576</v>
      </c>
      <c r="K137">
        <f>J137*1.002^5</f>
        <v>0.17814563142544426</v>
      </c>
    </row>
    <row r="138" spans="1:11" x14ac:dyDescent="0.25">
      <c r="A138" t="s">
        <v>34</v>
      </c>
      <c r="B138" t="s">
        <v>48</v>
      </c>
      <c r="C138" t="s">
        <v>500</v>
      </c>
      <c r="D138">
        <v>0.115</v>
      </c>
      <c r="E138">
        <f t="shared" si="16"/>
        <v>0.18354000000000004</v>
      </c>
      <c r="F138">
        <f t="shared" si="17"/>
        <v>0.17989663934471253</v>
      </c>
      <c r="G138">
        <f t="shared" si="18"/>
        <v>0.17968086050225676</v>
      </c>
      <c r="H138">
        <f>G138*1.002^4</f>
        <v>0.18112262547958927</v>
      </c>
      <c r="I138">
        <f t="shared" si="19"/>
        <v>0.17663961466112979</v>
      </c>
      <c r="J138">
        <f t="shared" si="20"/>
        <v>0.17637481416710576</v>
      </c>
      <c r="K138">
        <f>J138*1.002^5</f>
        <v>0.17814563142544426</v>
      </c>
    </row>
    <row r="139" spans="1:11" x14ac:dyDescent="0.25">
      <c r="A139" t="s">
        <v>26</v>
      </c>
      <c r="B139" t="s">
        <v>55</v>
      </c>
      <c r="C139" t="s">
        <v>506</v>
      </c>
      <c r="D139">
        <v>0.113</v>
      </c>
      <c r="E139">
        <f t="shared" si="16"/>
        <v>0.15029000000000001</v>
      </c>
      <c r="F139">
        <f t="shared" si="17"/>
        <v>0.14730666844893125</v>
      </c>
      <c r="G139">
        <f t="shared" si="18"/>
        <v>0.14712997997648558</v>
      </c>
      <c r="H139">
        <f t="shared" ref="H139:H144" si="21">G139</f>
        <v>0.14712997997648558</v>
      </c>
      <c r="I139">
        <f t="shared" si="19"/>
        <v>0.14348832951891402</v>
      </c>
      <c r="J139">
        <f t="shared" si="20"/>
        <v>0.1432732261253962</v>
      </c>
      <c r="K139">
        <f t="shared" ref="K139:K144" si="22">J139</f>
        <v>0.1432732261253962</v>
      </c>
    </row>
    <row r="140" spans="1:11" x14ac:dyDescent="0.25">
      <c r="A140" t="s">
        <v>28</v>
      </c>
      <c r="B140" t="s">
        <v>55</v>
      </c>
      <c r="C140" t="s">
        <v>506</v>
      </c>
      <c r="D140">
        <v>0.113</v>
      </c>
      <c r="E140">
        <f t="shared" si="16"/>
        <v>0.15029000000000001</v>
      </c>
      <c r="F140">
        <f t="shared" si="17"/>
        <v>0.14730666844893125</v>
      </c>
      <c r="G140">
        <f t="shared" si="18"/>
        <v>0.14712997997648558</v>
      </c>
      <c r="H140">
        <f t="shared" si="21"/>
        <v>0.14712997997648558</v>
      </c>
      <c r="I140">
        <f t="shared" si="19"/>
        <v>0.14348832951891402</v>
      </c>
      <c r="J140">
        <f t="shared" si="20"/>
        <v>0.1432732261253962</v>
      </c>
      <c r="K140">
        <f t="shared" si="22"/>
        <v>0.1432732261253962</v>
      </c>
    </row>
    <row r="141" spans="1:11" x14ac:dyDescent="0.25">
      <c r="A141" t="s">
        <v>56</v>
      </c>
      <c r="B141" t="s">
        <v>55</v>
      </c>
      <c r="C141" t="s">
        <v>506</v>
      </c>
      <c r="D141">
        <v>0.113</v>
      </c>
      <c r="E141">
        <f t="shared" si="16"/>
        <v>0.15029000000000001</v>
      </c>
      <c r="F141">
        <f t="shared" si="17"/>
        <v>0.14730666844893125</v>
      </c>
      <c r="G141">
        <f t="shared" si="18"/>
        <v>0.14712997997648558</v>
      </c>
      <c r="H141">
        <f t="shared" si="21"/>
        <v>0.14712997997648558</v>
      </c>
      <c r="I141">
        <f t="shared" si="19"/>
        <v>0.14348832951891402</v>
      </c>
      <c r="J141">
        <f t="shared" si="20"/>
        <v>0.1432732261253962</v>
      </c>
      <c r="K141">
        <f t="shared" si="22"/>
        <v>0.1432732261253962</v>
      </c>
    </row>
    <row r="142" spans="1:11" x14ac:dyDescent="0.25">
      <c r="A142" t="s">
        <v>35</v>
      </c>
      <c r="B142" t="s">
        <v>55</v>
      </c>
      <c r="C142" t="s">
        <v>506</v>
      </c>
      <c r="D142">
        <v>0.113</v>
      </c>
      <c r="E142">
        <f t="shared" si="16"/>
        <v>0.15029000000000001</v>
      </c>
      <c r="F142">
        <f t="shared" si="17"/>
        <v>0.14730666844893125</v>
      </c>
      <c r="G142">
        <f t="shared" si="18"/>
        <v>0.14712997997648558</v>
      </c>
      <c r="H142">
        <f t="shared" si="21"/>
        <v>0.14712997997648558</v>
      </c>
      <c r="I142">
        <f t="shared" si="19"/>
        <v>0.14348832951891402</v>
      </c>
      <c r="J142">
        <f t="shared" si="20"/>
        <v>0.1432732261253962</v>
      </c>
      <c r="K142">
        <f t="shared" si="22"/>
        <v>0.1432732261253962</v>
      </c>
    </row>
    <row r="143" spans="1:11" x14ac:dyDescent="0.25">
      <c r="A143" t="s">
        <v>36</v>
      </c>
      <c r="B143" t="s">
        <v>55</v>
      </c>
      <c r="C143" t="s">
        <v>506</v>
      </c>
      <c r="D143">
        <v>0.113</v>
      </c>
      <c r="E143">
        <f t="shared" si="16"/>
        <v>0.15029000000000001</v>
      </c>
      <c r="F143">
        <f t="shared" si="17"/>
        <v>0.14730666844893125</v>
      </c>
      <c r="G143">
        <f t="shared" si="18"/>
        <v>0.14712997997648558</v>
      </c>
      <c r="H143">
        <f t="shared" si="21"/>
        <v>0.14712997997648558</v>
      </c>
      <c r="I143">
        <f t="shared" si="19"/>
        <v>0.14348832951891402</v>
      </c>
      <c r="J143">
        <f t="shared" si="20"/>
        <v>0.1432732261253962</v>
      </c>
      <c r="K143">
        <f t="shared" si="22"/>
        <v>0.1432732261253962</v>
      </c>
    </row>
    <row r="144" spans="1:11" x14ac:dyDescent="0.25">
      <c r="A144" t="s">
        <v>43</v>
      </c>
      <c r="B144" t="s">
        <v>57</v>
      </c>
      <c r="C144" t="s">
        <v>506</v>
      </c>
      <c r="D144">
        <v>0.11</v>
      </c>
      <c r="E144">
        <f t="shared" si="16"/>
        <v>0.11</v>
      </c>
      <c r="F144">
        <f t="shared" si="17"/>
        <v>0.10781644506875</v>
      </c>
      <c r="G144">
        <f t="shared" si="18"/>
        <v>0.10768712354390456</v>
      </c>
      <c r="H144">
        <f t="shared" si="21"/>
        <v>0.10768712354390456</v>
      </c>
      <c r="I144">
        <f t="shared" si="19"/>
        <v>0.10502173296347424</v>
      </c>
      <c r="J144">
        <f t="shared" si="20"/>
        <v>0.10486429485523709</v>
      </c>
      <c r="K144">
        <f t="shared" si="22"/>
        <v>0.10486429485523709</v>
      </c>
    </row>
    <row r="145" spans="1:11" x14ac:dyDescent="0.25">
      <c r="A145" t="s">
        <v>43</v>
      </c>
      <c r="B145" t="s">
        <v>57</v>
      </c>
      <c r="C145" t="s">
        <v>503</v>
      </c>
      <c r="D145">
        <v>0.11</v>
      </c>
      <c r="E145">
        <f t="shared" si="16"/>
        <v>0.11</v>
      </c>
      <c r="F145">
        <f t="shared" si="17"/>
        <v>0.10781644506875</v>
      </c>
      <c r="G145">
        <f t="shared" si="18"/>
        <v>0.10768712354390456</v>
      </c>
      <c r="I145">
        <f t="shared" si="19"/>
        <v>0</v>
      </c>
      <c r="J145">
        <f t="shared" si="20"/>
        <v>0</v>
      </c>
    </row>
    <row r="146" spans="1:11" x14ac:dyDescent="0.25">
      <c r="A146" t="s">
        <v>43</v>
      </c>
      <c r="B146" t="s">
        <v>57</v>
      </c>
      <c r="C146" t="s">
        <v>507</v>
      </c>
      <c r="D146">
        <v>0.11</v>
      </c>
      <c r="E146">
        <f t="shared" si="16"/>
        <v>0.11</v>
      </c>
      <c r="F146">
        <f t="shared" si="17"/>
        <v>0.10781644506875</v>
      </c>
      <c r="G146">
        <f t="shared" si="18"/>
        <v>0.10768712354390456</v>
      </c>
      <c r="H146">
        <f>G146</f>
        <v>0.10768712354390456</v>
      </c>
      <c r="I146">
        <f t="shared" si="19"/>
        <v>0.10502173296347424</v>
      </c>
      <c r="J146">
        <f t="shared" si="20"/>
        <v>0.10486429485523709</v>
      </c>
      <c r="K146">
        <f>J146</f>
        <v>0.10486429485523709</v>
      </c>
    </row>
    <row r="147" spans="1:11" x14ac:dyDescent="0.25">
      <c r="A147" t="s">
        <v>26</v>
      </c>
      <c r="B147" t="s">
        <v>55</v>
      </c>
      <c r="C147" t="s">
        <v>503</v>
      </c>
      <c r="D147">
        <v>0.108</v>
      </c>
      <c r="E147">
        <f t="shared" si="16"/>
        <v>0.14364000000000002</v>
      </c>
      <c r="F147">
        <f t="shared" si="17"/>
        <v>0.14078867426977504</v>
      </c>
      <c r="G147">
        <f t="shared" si="18"/>
        <v>0.14061980387133138</v>
      </c>
      <c r="I147">
        <f t="shared" si="19"/>
        <v>0</v>
      </c>
      <c r="J147">
        <f t="shared" si="20"/>
        <v>0</v>
      </c>
    </row>
    <row r="148" spans="1:11" x14ac:dyDescent="0.25">
      <c r="A148" t="s">
        <v>28</v>
      </c>
      <c r="B148" t="s">
        <v>55</v>
      </c>
      <c r="C148" t="s">
        <v>503</v>
      </c>
      <c r="D148">
        <v>0.108</v>
      </c>
      <c r="E148">
        <f t="shared" si="16"/>
        <v>0.14364000000000002</v>
      </c>
      <c r="F148">
        <f t="shared" si="17"/>
        <v>0.14078867426977504</v>
      </c>
      <c r="G148">
        <f t="shared" si="18"/>
        <v>0.14061980387133138</v>
      </c>
      <c r="I148">
        <f t="shared" si="19"/>
        <v>0</v>
      </c>
      <c r="J148">
        <f t="shared" si="20"/>
        <v>0</v>
      </c>
    </row>
    <row r="149" spans="1:11" x14ac:dyDescent="0.25">
      <c r="A149" t="s">
        <v>56</v>
      </c>
      <c r="B149" t="s">
        <v>55</v>
      </c>
      <c r="C149" t="s">
        <v>503</v>
      </c>
      <c r="D149">
        <v>0.108</v>
      </c>
      <c r="E149">
        <f t="shared" si="16"/>
        <v>0.14364000000000002</v>
      </c>
      <c r="F149">
        <f t="shared" si="17"/>
        <v>0.14078867426977504</v>
      </c>
      <c r="G149">
        <f t="shared" si="18"/>
        <v>0.14061980387133138</v>
      </c>
      <c r="I149">
        <f t="shared" si="19"/>
        <v>0</v>
      </c>
      <c r="J149">
        <f t="shared" si="20"/>
        <v>0</v>
      </c>
    </row>
    <row r="150" spans="1:11" x14ac:dyDescent="0.25">
      <c r="A150" t="s">
        <v>35</v>
      </c>
      <c r="B150" t="s">
        <v>55</v>
      </c>
      <c r="C150" t="s">
        <v>503</v>
      </c>
      <c r="D150">
        <v>0.108</v>
      </c>
      <c r="E150">
        <f t="shared" si="16"/>
        <v>0.14364000000000002</v>
      </c>
      <c r="F150">
        <f t="shared" si="17"/>
        <v>0.14078867426977504</v>
      </c>
      <c r="G150">
        <f t="shared" si="18"/>
        <v>0.14061980387133138</v>
      </c>
      <c r="I150">
        <f t="shared" si="19"/>
        <v>0</v>
      </c>
      <c r="J150">
        <f t="shared" si="20"/>
        <v>0</v>
      </c>
    </row>
    <row r="151" spans="1:11" x14ac:dyDescent="0.25">
      <c r="A151" t="s">
        <v>36</v>
      </c>
      <c r="B151" t="s">
        <v>55</v>
      </c>
      <c r="C151" t="s">
        <v>503</v>
      </c>
      <c r="D151">
        <v>0.108</v>
      </c>
      <c r="E151">
        <f t="shared" si="16"/>
        <v>0.14364000000000002</v>
      </c>
      <c r="F151">
        <f t="shared" si="17"/>
        <v>0.14078867426977504</v>
      </c>
      <c r="G151">
        <f t="shared" si="18"/>
        <v>0.14061980387133138</v>
      </c>
      <c r="I151">
        <f t="shared" si="19"/>
        <v>0</v>
      </c>
      <c r="J151">
        <f t="shared" si="20"/>
        <v>0</v>
      </c>
    </row>
    <row r="152" spans="1:11" x14ac:dyDescent="0.25">
      <c r="A152" t="s">
        <v>26</v>
      </c>
      <c r="B152" t="s">
        <v>55</v>
      </c>
      <c r="C152" t="s">
        <v>507</v>
      </c>
      <c r="D152">
        <v>0.104</v>
      </c>
      <c r="E152">
        <f t="shared" si="16"/>
        <v>0.13832</v>
      </c>
      <c r="F152">
        <f t="shared" si="17"/>
        <v>0.13557427892645002</v>
      </c>
      <c r="G152">
        <f t="shared" si="18"/>
        <v>0.135411662987208</v>
      </c>
      <c r="H152">
        <f>G152</f>
        <v>0.135411662987208</v>
      </c>
      <c r="I152">
        <f t="shared" si="19"/>
        <v>0.13206005548643415</v>
      </c>
      <c r="J152">
        <f t="shared" si="20"/>
        <v>0.13186208422160359</v>
      </c>
      <c r="K152">
        <f>J152</f>
        <v>0.13186208422160359</v>
      </c>
    </row>
    <row r="153" spans="1:11" x14ac:dyDescent="0.25">
      <c r="A153" t="s">
        <v>28</v>
      </c>
      <c r="B153" t="s">
        <v>55</v>
      </c>
      <c r="C153" t="s">
        <v>507</v>
      </c>
      <c r="D153">
        <v>0.104</v>
      </c>
      <c r="E153">
        <f t="shared" si="16"/>
        <v>0.13832</v>
      </c>
      <c r="F153">
        <f t="shared" si="17"/>
        <v>0.13557427892645002</v>
      </c>
      <c r="G153">
        <f t="shared" si="18"/>
        <v>0.135411662987208</v>
      </c>
      <c r="H153">
        <f>G153</f>
        <v>0.135411662987208</v>
      </c>
      <c r="I153">
        <f t="shared" si="19"/>
        <v>0.13206005548643415</v>
      </c>
      <c r="J153">
        <f t="shared" si="20"/>
        <v>0.13186208422160359</v>
      </c>
      <c r="K153">
        <f>J153</f>
        <v>0.13186208422160359</v>
      </c>
    </row>
    <row r="154" spans="1:11" x14ac:dyDescent="0.25">
      <c r="A154" t="s">
        <v>56</v>
      </c>
      <c r="B154" t="s">
        <v>55</v>
      </c>
      <c r="C154" t="s">
        <v>507</v>
      </c>
      <c r="D154">
        <v>0.104</v>
      </c>
      <c r="E154">
        <f t="shared" si="16"/>
        <v>0.13832</v>
      </c>
      <c r="F154">
        <f t="shared" si="17"/>
        <v>0.13557427892645002</v>
      </c>
      <c r="G154">
        <f t="shared" si="18"/>
        <v>0.135411662987208</v>
      </c>
      <c r="H154">
        <f>G154</f>
        <v>0.135411662987208</v>
      </c>
      <c r="I154">
        <f t="shared" si="19"/>
        <v>0.13206005548643415</v>
      </c>
      <c r="J154">
        <f t="shared" si="20"/>
        <v>0.13186208422160359</v>
      </c>
      <c r="K154">
        <f>J154</f>
        <v>0.13186208422160359</v>
      </c>
    </row>
    <row r="155" spans="1:11" x14ac:dyDescent="0.25">
      <c r="A155" t="s">
        <v>35</v>
      </c>
      <c r="B155" t="s">
        <v>55</v>
      </c>
      <c r="C155" t="s">
        <v>507</v>
      </c>
      <c r="D155">
        <v>0.104</v>
      </c>
      <c r="E155">
        <f t="shared" si="16"/>
        <v>0.13832</v>
      </c>
      <c r="F155">
        <f t="shared" si="17"/>
        <v>0.13557427892645002</v>
      </c>
      <c r="G155">
        <f t="shared" si="18"/>
        <v>0.135411662987208</v>
      </c>
      <c r="H155">
        <f>G155</f>
        <v>0.135411662987208</v>
      </c>
      <c r="I155">
        <f t="shared" si="19"/>
        <v>0.13206005548643415</v>
      </c>
      <c r="J155">
        <f t="shared" si="20"/>
        <v>0.13186208422160359</v>
      </c>
      <c r="K155">
        <f>J155</f>
        <v>0.13186208422160359</v>
      </c>
    </row>
    <row r="156" spans="1:11" x14ac:dyDescent="0.25">
      <c r="A156" t="s">
        <v>36</v>
      </c>
      <c r="B156" t="s">
        <v>55</v>
      </c>
      <c r="C156" t="s">
        <v>507</v>
      </c>
      <c r="D156">
        <v>0.104</v>
      </c>
      <c r="E156">
        <f t="shared" si="16"/>
        <v>0.13832</v>
      </c>
      <c r="F156">
        <f t="shared" si="17"/>
        <v>0.13557427892645002</v>
      </c>
      <c r="G156">
        <f t="shared" si="18"/>
        <v>0.135411662987208</v>
      </c>
      <c r="H156">
        <f>G156</f>
        <v>0.135411662987208</v>
      </c>
      <c r="I156">
        <f t="shared" si="19"/>
        <v>0.13206005548643415</v>
      </c>
      <c r="J156">
        <f t="shared" si="20"/>
        <v>0.13186208422160359</v>
      </c>
      <c r="K156">
        <f>J156</f>
        <v>0.13186208422160359</v>
      </c>
    </row>
    <row r="157" spans="1:11" x14ac:dyDescent="0.25">
      <c r="A157" t="s">
        <v>53</v>
      </c>
      <c r="B157" t="s">
        <v>57</v>
      </c>
      <c r="C157" t="s">
        <v>503</v>
      </c>
      <c r="D157">
        <v>0.10100000000000001</v>
      </c>
      <c r="E157">
        <f t="shared" si="16"/>
        <v>0.10100000000000001</v>
      </c>
      <c r="F157">
        <f t="shared" si="17"/>
        <v>9.8995099563125008E-2</v>
      </c>
      <c r="G157">
        <f t="shared" si="18"/>
        <v>9.8876358890312363E-2</v>
      </c>
      <c r="I157">
        <f t="shared" si="19"/>
        <v>0</v>
      </c>
      <c r="J157">
        <f t="shared" si="20"/>
        <v>0</v>
      </c>
    </row>
    <row r="158" spans="1:11" x14ac:dyDescent="0.25">
      <c r="A158" t="s">
        <v>47</v>
      </c>
      <c r="B158" t="s">
        <v>57</v>
      </c>
      <c r="C158" t="s">
        <v>503</v>
      </c>
      <c r="D158">
        <v>0.10100000000000001</v>
      </c>
      <c r="E158">
        <f t="shared" si="16"/>
        <v>0.10100000000000001</v>
      </c>
      <c r="F158">
        <f t="shared" si="17"/>
        <v>9.8995099563125008E-2</v>
      </c>
      <c r="G158">
        <f t="shared" si="18"/>
        <v>9.8876358890312363E-2</v>
      </c>
      <c r="I158">
        <f t="shared" si="19"/>
        <v>0</v>
      </c>
      <c r="J158">
        <f t="shared" si="20"/>
        <v>0</v>
      </c>
    </row>
    <row r="159" spans="1:11" x14ac:dyDescent="0.25">
      <c r="A159" t="s">
        <v>4</v>
      </c>
      <c r="B159" t="s">
        <v>55</v>
      </c>
      <c r="C159" t="s">
        <v>502</v>
      </c>
      <c r="D159">
        <v>9.1999999999999998E-2</v>
      </c>
      <c r="E159">
        <f t="shared" si="16"/>
        <v>0.12236000000000001</v>
      </c>
      <c r="F159">
        <f t="shared" si="17"/>
        <v>0.11993109289647502</v>
      </c>
      <c r="G159">
        <f t="shared" si="18"/>
        <v>0.11978724033483784</v>
      </c>
      <c r="H159">
        <f t="shared" ref="H159:H165" si="23">G159*1.002^4</f>
        <v>0.12074841698639285</v>
      </c>
      <c r="I159">
        <f t="shared" si="19"/>
        <v>0.11775974310741988</v>
      </c>
      <c r="J159">
        <f t="shared" si="20"/>
        <v>0.1175832094447372</v>
      </c>
    </row>
    <row r="160" spans="1:11" x14ac:dyDescent="0.25">
      <c r="A160" t="s">
        <v>34</v>
      </c>
      <c r="B160" t="s">
        <v>55</v>
      </c>
      <c r="C160" t="s">
        <v>502</v>
      </c>
      <c r="D160">
        <v>9.1999999999999998E-2</v>
      </c>
      <c r="E160">
        <f t="shared" si="16"/>
        <v>0.12236000000000001</v>
      </c>
      <c r="F160">
        <f t="shared" si="17"/>
        <v>0.11993109289647502</v>
      </c>
      <c r="G160">
        <f t="shared" si="18"/>
        <v>0.11978724033483784</v>
      </c>
      <c r="H160">
        <f t="shared" si="23"/>
        <v>0.12074841698639285</v>
      </c>
      <c r="I160">
        <f t="shared" si="19"/>
        <v>0.11775974310741988</v>
      </c>
      <c r="J160">
        <f t="shared" si="20"/>
        <v>0.1175832094447372</v>
      </c>
    </row>
    <row r="161" spans="1:11" x14ac:dyDescent="0.25">
      <c r="A161" t="s">
        <v>40</v>
      </c>
      <c r="B161" t="s">
        <v>55</v>
      </c>
      <c r="C161" t="s">
        <v>502</v>
      </c>
      <c r="D161">
        <v>9.1999999999999998E-2</v>
      </c>
      <c r="E161">
        <f t="shared" si="16"/>
        <v>0.12236000000000001</v>
      </c>
      <c r="F161">
        <f t="shared" si="17"/>
        <v>0.11993109289647502</v>
      </c>
      <c r="G161">
        <f t="shared" si="18"/>
        <v>0.11978724033483784</v>
      </c>
      <c r="H161">
        <f t="shared" si="23"/>
        <v>0.12074841698639285</v>
      </c>
      <c r="I161">
        <f t="shared" si="19"/>
        <v>0.11775974310741988</v>
      </c>
      <c r="J161">
        <f t="shared" si="20"/>
        <v>0.1175832094447372</v>
      </c>
    </row>
    <row r="162" spans="1:11" x14ac:dyDescent="0.25">
      <c r="A162" t="s">
        <v>53</v>
      </c>
      <c r="B162" t="s">
        <v>55</v>
      </c>
      <c r="C162" t="s">
        <v>502</v>
      </c>
      <c r="D162">
        <v>9.1999999999999998E-2</v>
      </c>
      <c r="E162">
        <f t="shared" si="16"/>
        <v>0.12236000000000001</v>
      </c>
      <c r="F162">
        <f t="shared" si="17"/>
        <v>0.11993109289647502</v>
      </c>
      <c r="G162">
        <f t="shared" si="18"/>
        <v>0.11978724033483784</v>
      </c>
      <c r="H162">
        <f t="shared" si="23"/>
        <v>0.12074841698639285</v>
      </c>
      <c r="I162">
        <f t="shared" si="19"/>
        <v>0.11775974310741988</v>
      </c>
      <c r="J162">
        <f t="shared" si="20"/>
        <v>0.1175832094447372</v>
      </c>
    </row>
    <row r="163" spans="1:11" x14ac:dyDescent="0.25">
      <c r="A163" t="s">
        <v>45</v>
      </c>
      <c r="B163" t="s">
        <v>55</v>
      </c>
      <c r="C163" t="s">
        <v>502</v>
      </c>
      <c r="D163">
        <v>9.1999999999999998E-2</v>
      </c>
      <c r="E163">
        <f t="shared" si="16"/>
        <v>0.12236000000000001</v>
      </c>
      <c r="F163">
        <f t="shared" si="17"/>
        <v>0.11993109289647502</v>
      </c>
      <c r="G163">
        <f t="shared" si="18"/>
        <v>0.11978724033483784</v>
      </c>
      <c r="H163">
        <f t="shared" si="23"/>
        <v>0.12074841698639285</v>
      </c>
      <c r="I163">
        <f t="shared" si="19"/>
        <v>0.11775974310741988</v>
      </c>
      <c r="J163">
        <f t="shared" si="20"/>
        <v>0.1175832094447372</v>
      </c>
    </row>
    <row r="164" spans="1:11" x14ac:dyDescent="0.25">
      <c r="A164" t="s">
        <v>46</v>
      </c>
      <c r="B164" t="s">
        <v>55</v>
      </c>
      <c r="C164" t="s">
        <v>502</v>
      </c>
      <c r="D164">
        <v>9.1999999999999998E-2</v>
      </c>
      <c r="E164">
        <f t="shared" si="16"/>
        <v>0.12236000000000001</v>
      </c>
      <c r="F164">
        <f t="shared" si="17"/>
        <v>0.11993109289647502</v>
      </c>
      <c r="G164">
        <f t="shared" si="18"/>
        <v>0.11978724033483784</v>
      </c>
      <c r="H164">
        <f t="shared" si="23"/>
        <v>0.12074841698639285</v>
      </c>
      <c r="I164">
        <f t="shared" si="19"/>
        <v>0.11775974310741988</v>
      </c>
      <c r="J164">
        <f t="shared" si="20"/>
        <v>0.1175832094447372</v>
      </c>
    </row>
    <row r="165" spans="1:11" x14ac:dyDescent="0.25">
      <c r="A165" t="s">
        <v>47</v>
      </c>
      <c r="B165" t="s">
        <v>55</v>
      </c>
      <c r="C165" t="s">
        <v>502</v>
      </c>
      <c r="D165">
        <v>9.1999999999999998E-2</v>
      </c>
      <c r="E165">
        <f t="shared" si="16"/>
        <v>0.12236000000000001</v>
      </c>
      <c r="F165">
        <f t="shared" si="17"/>
        <v>0.11993109289647502</v>
      </c>
      <c r="G165">
        <f t="shared" si="18"/>
        <v>0.11978724033483784</v>
      </c>
      <c r="H165">
        <f t="shared" si="23"/>
        <v>0.12074841698639285</v>
      </c>
      <c r="I165">
        <f t="shared" si="19"/>
        <v>0.11775974310741988</v>
      </c>
      <c r="J165">
        <f t="shared" si="20"/>
        <v>0.1175832094447372</v>
      </c>
    </row>
    <row r="166" spans="1:11" x14ac:dyDescent="0.25">
      <c r="A166" t="s">
        <v>45</v>
      </c>
      <c r="B166" t="s">
        <v>57</v>
      </c>
      <c r="C166" t="s">
        <v>506</v>
      </c>
      <c r="D166">
        <v>8.4000000000000005E-2</v>
      </c>
      <c r="E166">
        <f t="shared" si="16"/>
        <v>8.4000000000000005E-2</v>
      </c>
      <c r="F166">
        <f t="shared" si="17"/>
        <v>8.2332558052500004E-2</v>
      </c>
      <c r="G166">
        <f t="shared" si="18"/>
        <v>8.2233803433527111E-2</v>
      </c>
      <c r="H166">
        <f>G166</f>
        <v>8.2233803433527111E-2</v>
      </c>
      <c r="I166">
        <f t="shared" si="19"/>
        <v>8.0198414263016687E-2</v>
      </c>
      <c r="J166">
        <f t="shared" si="20"/>
        <v>8.0078188798544683E-2</v>
      </c>
      <c r="K166">
        <f>J166</f>
        <v>8.0078188798544683E-2</v>
      </c>
    </row>
    <row r="167" spans="1:11" x14ac:dyDescent="0.25">
      <c r="A167" t="s">
        <v>53</v>
      </c>
      <c r="B167" t="s">
        <v>57</v>
      </c>
      <c r="C167" t="s">
        <v>504</v>
      </c>
      <c r="D167">
        <v>8.2000000000000003E-2</v>
      </c>
      <c r="E167">
        <f t="shared" si="16"/>
        <v>8.2000000000000003E-2</v>
      </c>
      <c r="F167">
        <f t="shared" si="17"/>
        <v>8.0372259051250006E-2</v>
      </c>
      <c r="G167">
        <f t="shared" si="18"/>
        <v>8.0275855732728857E-2</v>
      </c>
      <c r="I167">
        <f t="shared" si="19"/>
        <v>0</v>
      </c>
      <c r="J167">
        <f t="shared" si="20"/>
        <v>0</v>
      </c>
    </row>
    <row r="168" spans="1:11" x14ac:dyDescent="0.25">
      <c r="A168" t="s">
        <v>47</v>
      </c>
      <c r="B168" t="s">
        <v>57</v>
      </c>
      <c r="C168" t="s">
        <v>504</v>
      </c>
      <c r="D168">
        <v>8.2000000000000003E-2</v>
      </c>
      <c r="E168">
        <f t="shared" si="16"/>
        <v>8.2000000000000003E-2</v>
      </c>
      <c r="F168">
        <f t="shared" si="17"/>
        <v>8.0372259051250006E-2</v>
      </c>
      <c r="G168">
        <f t="shared" si="18"/>
        <v>8.0275855732728857E-2</v>
      </c>
      <c r="I168">
        <f t="shared" si="19"/>
        <v>0</v>
      </c>
      <c r="J168">
        <f t="shared" si="20"/>
        <v>0</v>
      </c>
    </row>
    <row r="169" spans="1:11" x14ac:dyDescent="0.25">
      <c r="A169" t="s">
        <v>4</v>
      </c>
      <c r="B169" t="s">
        <v>57</v>
      </c>
      <c r="C169" t="s">
        <v>506</v>
      </c>
      <c r="D169">
        <v>7.2999999999999995E-2</v>
      </c>
      <c r="E169">
        <f t="shared" si="16"/>
        <v>7.2999999999999995E-2</v>
      </c>
      <c r="F169">
        <f t="shared" si="17"/>
        <v>7.1550913545624997E-2</v>
      </c>
      <c r="G169">
        <f t="shared" si="18"/>
        <v>7.146509107913665E-2</v>
      </c>
      <c r="H169">
        <f>G169</f>
        <v>7.146509107913665E-2</v>
      </c>
      <c r="I169">
        <f t="shared" si="19"/>
        <v>6.9696240966669251E-2</v>
      </c>
      <c r="J169">
        <f t="shared" si="20"/>
        <v>6.9591759313020959E-2</v>
      </c>
      <c r="K169">
        <f>J169</f>
        <v>6.9591759313020959E-2</v>
      </c>
    </row>
    <row r="170" spans="1:11" x14ac:dyDescent="0.25">
      <c r="A170" t="s">
        <v>46</v>
      </c>
      <c r="B170" t="s">
        <v>57</v>
      </c>
      <c r="C170" t="s">
        <v>505</v>
      </c>
      <c r="D170">
        <v>7.2999999999999995E-2</v>
      </c>
      <c r="E170">
        <f t="shared" si="16"/>
        <v>7.2999999999999995E-2</v>
      </c>
      <c r="F170">
        <f t="shared" si="17"/>
        <v>7.1550913545624997E-2</v>
      </c>
      <c r="G170">
        <f t="shared" si="18"/>
        <v>7.146509107913665E-2</v>
      </c>
      <c r="I170">
        <f t="shared" si="19"/>
        <v>0</v>
      </c>
      <c r="J170">
        <f t="shared" si="20"/>
        <v>0</v>
      </c>
    </row>
    <row r="171" spans="1:11" x14ac:dyDescent="0.25">
      <c r="A171" t="s">
        <v>53</v>
      </c>
      <c r="B171" t="s">
        <v>57</v>
      </c>
      <c r="C171" t="s">
        <v>502</v>
      </c>
      <c r="D171">
        <v>6.4000000000000001E-2</v>
      </c>
      <c r="E171">
        <f t="shared" si="16"/>
        <v>6.4000000000000001E-2</v>
      </c>
      <c r="F171">
        <f t="shared" si="17"/>
        <v>6.2729568040000003E-2</v>
      </c>
      <c r="G171">
        <f t="shared" si="18"/>
        <v>6.2654326425544471E-2</v>
      </c>
      <c r="H171">
        <f>G171*1.002^4</f>
        <v>6.3157066746723944E-2</v>
      </c>
      <c r="I171">
        <f t="shared" si="19"/>
        <v>6.1593850595577565E-2</v>
      </c>
      <c r="J171">
        <f t="shared" si="20"/>
        <v>6.1501515237521898E-2</v>
      </c>
    </row>
    <row r="172" spans="1:11" x14ac:dyDescent="0.25">
      <c r="A172" t="s">
        <v>47</v>
      </c>
      <c r="B172" t="s">
        <v>57</v>
      </c>
      <c r="C172" t="s">
        <v>502</v>
      </c>
      <c r="D172">
        <v>6.4000000000000001E-2</v>
      </c>
      <c r="E172">
        <f t="shared" si="16"/>
        <v>6.4000000000000001E-2</v>
      </c>
      <c r="F172">
        <f t="shared" si="17"/>
        <v>6.2729568040000003E-2</v>
      </c>
      <c r="G172">
        <f t="shared" si="18"/>
        <v>6.2654326425544471E-2</v>
      </c>
      <c r="H172">
        <f>G172*1.002^4</f>
        <v>6.3157066746723944E-2</v>
      </c>
      <c r="I172">
        <f t="shared" si="19"/>
        <v>6.1593850595577565E-2</v>
      </c>
      <c r="J172">
        <f t="shared" si="20"/>
        <v>6.1501515237521898E-2</v>
      </c>
    </row>
    <row r="173" spans="1:11" x14ac:dyDescent="0.25">
      <c r="A173" t="s">
        <v>4</v>
      </c>
      <c r="B173" t="s">
        <v>57</v>
      </c>
      <c r="C173" t="s">
        <v>504</v>
      </c>
      <c r="D173">
        <v>6.0999999999999999E-2</v>
      </c>
      <c r="E173">
        <f t="shared" si="16"/>
        <v>6.0999999999999999E-2</v>
      </c>
      <c r="F173">
        <f t="shared" si="17"/>
        <v>5.9789119538125005E-2</v>
      </c>
      <c r="G173">
        <f t="shared" si="18"/>
        <v>5.9717404874347076E-2</v>
      </c>
      <c r="I173">
        <f t="shared" si="19"/>
        <v>0</v>
      </c>
      <c r="J173">
        <f t="shared" si="20"/>
        <v>0</v>
      </c>
    </row>
    <row r="174" spans="1:11" x14ac:dyDescent="0.25">
      <c r="A174" t="s">
        <v>46</v>
      </c>
      <c r="B174" t="s">
        <v>57</v>
      </c>
      <c r="C174" t="s">
        <v>503</v>
      </c>
      <c r="D174">
        <v>5.8000000000000003E-2</v>
      </c>
      <c r="E174">
        <f t="shared" si="16"/>
        <v>5.8000000000000003E-2</v>
      </c>
      <c r="F174">
        <f t="shared" si="17"/>
        <v>5.6848671036250006E-2</v>
      </c>
      <c r="G174">
        <f t="shared" si="18"/>
        <v>5.678048332314968E-2</v>
      </c>
      <c r="I174">
        <f t="shared" si="19"/>
        <v>0</v>
      </c>
      <c r="J174">
        <f t="shared" si="20"/>
        <v>0</v>
      </c>
    </row>
    <row r="175" spans="1:11" x14ac:dyDescent="0.25">
      <c r="A175" t="s">
        <v>40</v>
      </c>
      <c r="B175" t="s">
        <v>48</v>
      </c>
      <c r="C175" t="s">
        <v>504</v>
      </c>
      <c r="D175">
        <v>5.8000000000000003E-2</v>
      </c>
      <c r="E175">
        <f t="shared" si="16"/>
        <v>9.2567999999999998E-2</v>
      </c>
      <c r="F175">
        <f t="shared" si="17"/>
        <v>9.0730478973855E-2</v>
      </c>
      <c r="G175">
        <f t="shared" si="18"/>
        <v>9.0621651383746879E-2</v>
      </c>
      <c r="I175">
        <f t="shared" si="19"/>
        <v>0</v>
      </c>
      <c r="J175">
        <f t="shared" si="20"/>
        <v>0</v>
      </c>
    </row>
    <row r="176" spans="1:11" x14ac:dyDescent="0.25">
      <c r="A176" t="s">
        <v>26</v>
      </c>
      <c r="B176" t="s">
        <v>55</v>
      </c>
      <c r="C176" t="s">
        <v>504</v>
      </c>
      <c r="D176">
        <v>5.6000000000000001E-2</v>
      </c>
      <c r="E176">
        <f t="shared" si="16"/>
        <v>7.4480000000000005E-2</v>
      </c>
      <c r="F176">
        <f t="shared" si="17"/>
        <v>7.3001534806550014E-2</v>
      </c>
      <c r="G176">
        <f t="shared" si="18"/>
        <v>7.2913972377727385E-2</v>
      </c>
      <c r="I176">
        <f t="shared" si="19"/>
        <v>0</v>
      </c>
      <c r="J176">
        <f t="shared" si="20"/>
        <v>0</v>
      </c>
    </row>
    <row r="177" spans="1:11" x14ac:dyDescent="0.25">
      <c r="A177" t="s">
        <v>28</v>
      </c>
      <c r="B177" t="s">
        <v>55</v>
      </c>
      <c r="C177" t="s">
        <v>504</v>
      </c>
      <c r="D177">
        <v>5.6000000000000001E-2</v>
      </c>
      <c r="E177">
        <f t="shared" si="16"/>
        <v>7.4480000000000005E-2</v>
      </c>
      <c r="F177">
        <f t="shared" si="17"/>
        <v>7.3001534806550014E-2</v>
      </c>
      <c r="G177">
        <f t="shared" si="18"/>
        <v>7.2913972377727385E-2</v>
      </c>
      <c r="I177">
        <f t="shared" si="19"/>
        <v>0</v>
      </c>
      <c r="J177">
        <f t="shared" si="20"/>
        <v>0</v>
      </c>
    </row>
    <row r="178" spans="1:11" x14ac:dyDescent="0.25">
      <c r="A178" t="s">
        <v>56</v>
      </c>
      <c r="B178" t="s">
        <v>55</v>
      </c>
      <c r="C178" t="s">
        <v>504</v>
      </c>
      <c r="D178">
        <v>5.6000000000000001E-2</v>
      </c>
      <c r="E178">
        <f t="shared" si="16"/>
        <v>7.4480000000000005E-2</v>
      </c>
      <c r="F178">
        <f t="shared" si="17"/>
        <v>7.3001534806550014E-2</v>
      </c>
      <c r="G178">
        <f t="shared" si="18"/>
        <v>7.2913972377727385E-2</v>
      </c>
      <c r="I178">
        <f t="shared" si="19"/>
        <v>0</v>
      </c>
      <c r="J178">
        <f t="shared" si="20"/>
        <v>0</v>
      </c>
    </row>
    <row r="179" spans="1:11" x14ac:dyDescent="0.25">
      <c r="A179" t="s">
        <v>35</v>
      </c>
      <c r="B179" t="s">
        <v>55</v>
      </c>
      <c r="C179" t="s">
        <v>504</v>
      </c>
      <c r="D179">
        <v>5.6000000000000001E-2</v>
      </c>
      <c r="E179">
        <f t="shared" si="16"/>
        <v>7.4480000000000005E-2</v>
      </c>
      <c r="F179">
        <f t="shared" si="17"/>
        <v>7.3001534806550014E-2</v>
      </c>
      <c r="G179">
        <f t="shared" si="18"/>
        <v>7.2913972377727385E-2</v>
      </c>
      <c r="I179">
        <f t="shared" si="19"/>
        <v>0</v>
      </c>
      <c r="J179">
        <f t="shared" si="20"/>
        <v>0</v>
      </c>
    </row>
    <row r="180" spans="1:11" x14ac:dyDescent="0.25">
      <c r="A180" t="s">
        <v>36</v>
      </c>
      <c r="B180" t="s">
        <v>55</v>
      </c>
      <c r="C180" t="s">
        <v>504</v>
      </c>
      <c r="D180">
        <v>5.6000000000000001E-2</v>
      </c>
      <c r="E180">
        <f t="shared" si="16"/>
        <v>7.4480000000000005E-2</v>
      </c>
      <c r="F180">
        <f t="shared" si="17"/>
        <v>7.3001534806550014E-2</v>
      </c>
      <c r="G180">
        <f t="shared" si="18"/>
        <v>7.2913972377727385E-2</v>
      </c>
      <c r="I180">
        <f t="shared" si="19"/>
        <v>0</v>
      </c>
      <c r="J180">
        <f t="shared" si="20"/>
        <v>0</v>
      </c>
    </row>
    <row r="181" spans="1:11" x14ac:dyDescent="0.25">
      <c r="A181" t="s">
        <v>40</v>
      </c>
      <c r="B181" t="s">
        <v>48</v>
      </c>
      <c r="C181" t="s">
        <v>501</v>
      </c>
      <c r="D181">
        <v>5.3999999999999999E-2</v>
      </c>
      <c r="E181">
        <f t="shared" si="16"/>
        <v>8.6183999999999997E-2</v>
      </c>
      <c r="F181">
        <f t="shared" si="17"/>
        <v>8.4473204561864995E-2</v>
      </c>
      <c r="G181">
        <f t="shared" si="18"/>
        <v>8.4371882322798811E-2</v>
      </c>
      <c r="H181">
        <f>G181*1.002^4</f>
        <v>8.5048885007807121E-2</v>
      </c>
      <c r="I181">
        <f t="shared" si="19"/>
        <v>8.2943819058269627E-2</v>
      </c>
      <c r="J181">
        <f t="shared" si="20"/>
        <v>8.2819477956727908E-2</v>
      </c>
      <c r="K181">
        <f>J181*1.002^5</f>
        <v>8.3650992147599898E-2</v>
      </c>
    </row>
    <row r="182" spans="1:11" x14ac:dyDescent="0.25">
      <c r="A182" t="s">
        <v>40</v>
      </c>
      <c r="B182" t="s">
        <v>48</v>
      </c>
      <c r="C182" t="s">
        <v>502</v>
      </c>
      <c r="D182">
        <v>5.3999999999999999E-2</v>
      </c>
      <c r="E182">
        <f t="shared" si="16"/>
        <v>8.6183999999999997E-2</v>
      </c>
      <c r="F182">
        <f t="shared" si="17"/>
        <v>8.4473204561864995E-2</v>
      </c>
      <c r="G182">
        <f t="shared" si="18"/>
        <v>8.4371882322798811E-2</v>
      </c>
      <c r="H182">
        <f>G182*1.002^4</f>
        <v>8.5048885007807121E-2</v>
      </c>
      <c r="I182">
        <f t="shared" si="19"/>
        <v>8.2943819058269627E-2</v>
      </c>
      <c r="J182">
        <f t="shared" si="20"/>
        <v>8.2819477956727908E-2</v>
      </c>
    </row>
    <row r="183" spans="1:11" x14ac:dyDescent="0.25">
      <c r="A183" t="s">
        <v>4</v>
      </c>
      <c r="B183" t="s">
        <v>57</v>
      </c>
      <c r="C183" t="s">
        <v>505</v>
      </c>
      <c r="D183">
        <v>5.1999999999999998E-2</v>
      </c>
      <c r="E183">
        <f t="shared" si="16"/>
        <v>5.1999999999999998E-2</v>
      </c>
      <c r="F183">
        <f t="shared" si="17"/>
        <v>5.0967774032500003E-2</v>
      </c>
      <c r="G183">
        <f t="shared" si="18"/>
        <v>5.0906640220754883E-2</v>
      </c>
      <c r="I183">
        <f t="shared" si="19"/>
        <v>0</v>
      </c>
      <c r="J183">
        <f t="shared" si="20"/>
        <v>0</v>
      </c>
    </row>
    <row r="184" spans="1:11" x14ac:dyDescent="0.25">
      <c r="A184" t="s">
        <v>40</v>
      </c>
      <c r="B184" t="s">
        <v>58</v>
      </c>
      <c r="C184" t="s">
        <v>507</v>
      </c>
      <c r="D184">
        <v>0.05</v>
      </c>
      <c r="E184">
        <f t="shared" si="16"/>
        <v>0.16625000000000001</v>
      </c>
      <c r="F184">
        <f t="shared" si="17"/>
        <v>0.16294985447890628</v>
      </c>
      <c r="G184">
        <f t="shared" si="18"/>
        <v>0.16275440262885577</v>
      </c>
      <c r="H184">
        <f>G184</f>
        <v>0.16275440262885577</v>
      </c>
      <c r="I184">
        <f t="shared" si="19"/>
        <v>0.15872602822888721</v>
      </c>
      <c r="J184">
        <f t="shared" si="20"/>
        <v>0.1584880819971197</v>
      </c>
      <c r="K184">
        <f>J184</f>
        <v>0.1584880819971197</v>
      </c>
    </row>
    <row r="185" spans="1:11" x14ac:dyDescent="0.25">
      <c r="A185" t="s">
        <v>45</v>
      </c>
      <c r="B185" t="s">
        <v>58</v>
      </c>
      <c r="C185" t="s">
        <v>507</v>
      </c>
      <c r="D185">
        <v>0.05</v>
      </c>
      <c r="E185">
        <f t="shared" si="16"/>
        <v>0.16625000000000001</v>
      </c>
      <c r="F185">
        <f t="shared" si="17"/>
        <v>0.16294985447890628</v>
      </c>
      <c r="G185">
        <f t="shared" si="18"/>
        <v>0.16275440262885577</v>
      </c>
      <c r="H185">
        <f>G185</f>
        <v>0.16275440262885577</v>
      </c>
      <c r="I185">
        <f t="shared" si="19"/>
        <v>0.15872602822888721</v>
      </c>
      <c r="J185">
        <f t="shared" si="20"/>
        <v>0.1584880819971197</v>
      </c>
      <c r="K185">
        <f>J185</f>
        <v>0.1584880819971197</v>
      </c>
    </row>
    <row r="186" spans="1:11" x14ac:dyDescent="0.25">
      <c r="A186" t="s">
        <v>46</v>
      </c>
      <c r="B186" t="s">
        <v>57</v>
      </c>
      <c r="C186" t="s">
        <v>504</v>
      </c>
      <c r="D186">
        <v>4.7E-2</v>
      </c>
      <c r="E186">
        <f t="shared" si="16"/>
        <v>4.7E-2</v>
      </c>
      <c r="F186">
        <f t="shared" si="17"/>
        <v>4.6067026529375006E-2</v>
      </c>
      <c r="G186">
        <f t="shared" si="18"/>
        <v>4.6011770968759219E-2</v>
      </c>
      <c r="I186">
        <f t="shared" si="19"/>
        <v>0</v>
      </c>
      <c r="J186">
        <f t="shared" si="20"/>
        <v>0</v>
      </c>
    </row>
    <row r="187" spans="1:11" x14ac:dyDescent="0.25">
      <c r="A187" t="s">
        <v>26</v>
      </c>
      <c r="B187" t="s">
        <v>55</v>
      </c>
      <c r="C187" t="s">
        <v>502</v>
      </c>
      <c r="D187">
        <v>4.5999999999999999E-2</v>
      </c>
      <c r="E187">
        <f t="shared" si="16"/>
        <v>6.1180000000000005E-2</v>
      </c>
      <c r="F187">
        <f t="shared" si="17"/>
        <v>5.9965546448237511E-2</v>
      </c>
      <c r="G187">
        <f t="shared" si="18"/>
        <v>5.9893620167418921E-2</v>
      </c>
      <c r="H187">
        <f>G187*1.002^4</f>
        <v>6.0374208493196427E-2</v>
      </c>
      <c r="I187">
        <f t="shared" si="19"/>
        <v>5.8879871553709939E-2</v>
      </c>
      <c r="J187">
        <f t="shared" si="20"/>
        <v>5.87916047223686E-2</v>
      </c>
    </row>
    <row r="188" spans="1:11" x14ac:dyDescent="0.25">
      <c r="A188" t="s">
        <v>28</v>
      </c>
      <c r="B188" t="s">
        <v>55</v>
      </c>
      <c r="C188" t="s">
        <v>502</v>
      </c>
      <c r="D188">
        <v>4.5999999999999999E-2</v>
      </c>
      <c r="E188">
        <f t="shared" si="16"/>
        <v>6.1180000000000005E-2</v>
      </c>
      <c r="F188">
        <f t="shared" si="17"/>
        <v>5.9965546448237511E-2</v>
      </c>
      <c r="G188">
        <f t="shared" si="18"/>
        <v>5.9893620167418921E-2</v>
      </c>
      <c r="H188">
        <f>G188*1.002^4</f>
        <v>6.0374208493196427E-2</v>
      </c>
      <c r="I188">
        <f t="shared" si="19"/>
        <v>5.8879871553709939E-2</v>
      </c>
      <c r="J188">
        <f t="shared" si="20"/>
        <v>5.87916047223686E-2</v>
      </c>
    </row>
    <row r="189" spans="1:11" x14ac:dyDescent="0.25">
      <c r="A189" t="s">
        <v>56</v>
      </c>
      <c r="B189" t="s">
        <v>55</v>
      </c>
      <c r="C189" t="s">
        <v>502</v>
      </c>
      <c r="D189">
        <v>4.5999999999999999E-2</v>
      </c>
      <c r="E189">
        <f t="shared" si="16"/>
        <v>6.1180000000000005E-2</v>
      </c>
      <c r="F189">
        <f t="shared" si="17"/>
        <v>5.9965546448237511E-2</v>
      </c>
      <c r="G189">
        <f t="shared" si="18"/>
        <v>5.9893620167418921E-2</v>
      </c>
      <c r="H189">
        <f>G189*1.002^4</f>
        <v>6.0374208493196427E-2</v>
      </c>
      <c r="I189">
        <f t="shared" si="19"/>
        <v>5.8879871553709939E-2</v>
      </c>
      <c r="J189">
        <f t="shared" si="20"/>
        <v>5.87916047223686E-2</v>
      </c>
    </row>
    <row r="190" spans="1:11" x14ac:dyDescent="0.25">
      <c r="A190" t="s">
        <v>35</v>
      </c>
      <c r="B190" t="s">
        <v>55</v>
      </c>
      <c r="C190" t="s">
        <v>502</v>
      </c>
      <c r="D190">
        <v>4.5999999999999999E-2</v>
      </c>
      <c r="E190">
        <f t="shared" si="16"/>
        <v>6.1180000000000005E-2</v>
      </c>
      <c r="F190">
        <f t="shared" si="17"/>
        <v>5.9965546448237511E-2</v>
      </c>
      <c r="G190">
        <f t="shared" si="18"/>
        <v>5.9893620167418921E-2</v>
      </c>
      <c r="H190">
        <f>G190*1.002^4</f>
        <v>6.0374208493196427E-2</v>
      </c>
      <c r="I190">
        <f t="shared" si="19"/>
        <v>5.8879871553709939E-2</v>
      </c>
      <c r="J190">
        <f t="shared" si="20"/>
        <v>5.87916047223686E-2</v>
      </c>
    </row>
    <row r="191" spans="1:11" x14ac:dyDescent="0.25">
      <c r="A191" t="s">
        <v>36</v>
      </c>
      <c r="B191" t="s">
        <v>55</v>
      </c>
      <c r="C191" t="s">
        <v>502</v>
      </c>
      <c r="D191">
        <v>4.5999999999999999E-2</v>
      </c>
      <c r="E191">
        <f t="shared" si="16"/>
        <v>6.1180000000000005E-2</v>
      </c>
      <c r="F191">
        <f t="shared" si="17"/>
        <v>5.9965546448237511E-2</v>
      </c>
      <c r="G191">
        <f t="shared" si="18"/>
        <v>5.9893620167418921E-2</v>
      </c>
      <c r="H191">
        <f>G191*1.002^4</f>
        <v>6.0374208493196427E-2</v>
      </c>
      <c r="I191">
        <f t="shared" si="19"/>
        <v>5.8879871553709939E-2</v>
      </c>
      <c r="J191">
        <f t="shared" si="20"/>
        <v>5.87916047223686E-2</v>
      </c>
    </row>
    <row r="192" spans="1:11" x14ac:dyDescent="0.25">
      <c r="A192" t="s">
        <v>45</v>
      </c>
      <c r="B192" t="s">
        <v>57</v>
      </c>
      <c r="C192" t="s">
        <v>505</v>
      </c>
      <c r="D192">
        <v>4.1000000000000002E-2</v>
      </c>
      <c r="E192">
        <f t="shared" si="16"/>
        <v>4.1000000000000002E-2</v>
      </c>
      <c r="F192">
        <f t="shared" si="17"/>
        <v>4.0186129525625003E-2</v>
      </c>
      <c r="G192">
        <f t="shared" si="18"/>
        <v>4.0137927866364428E-2</v>
      </c>
      <c r="I192">
        <f t="shared" si="19"/>
        <v>0</v>
      </c>
      <c r="J192">
        <f t="shared" si="20"/>
        <v>0</v>
      </c>
    </row>
    <row r="193" spans="1:11" x14ac:dyDescent="0.25">
      <c r="A193" t="s">
        <v>40</v>
      </c>
      <c r="B193" t="s">
        <v>58</v>
      </c>
      <c r="C193" t="s">
        <v>506</v>
      </c>
      <c r="D193">
        <v>3.6999999999999998E-2</v>
      </c>
      <c r="E193">
        <f t="shared" si="16"/>
        <v>0.123025</v>
      </c>
      <c r="F193">
        <f t="shared" si="17"/>
        <v>0.12058289231439062</v>
      </c>
      <c r="G193">
        <f t="shared" si="18"/>
        <v>0.12043825794535325</v>
      </c>
      <c r="H193">
        <f>G193</f>
        <v>0.12043825794535325</v>
      </c>
      <c r="I193">
        <f t="shared" si="19"/>
        <v>0.11745726088937652</v>
      </c>
      <c r="J193">
        <f t="shared" si="20"/>
        <v>0.11728118067786858</v>
      </c>
      <c r="K193">
        <f>J193</f>
        <v>0.11728118067786858</v>
      </c>
    </row>
    <row r="194" spans="1:11" x14ac:dyDescent="0.25">
      <c r="A194" t="s">
        <v>46</v>
      </c>
      <c r="B194" t="s">
        <v>57</v>
      </c>
      <c r="C194" t="s">
        <v>502</v>
      </c>
      <c r="D194">
        <v>3.5999999999999997E-2</v>
      </c>
      <c r="E194">
        <f t="shared" si="16"/>
        <v>3.5999999999999997E-2</v>
      </c>
      <c r="F194">
        <f t="shared" si="17"/>
        <v>3.5285382022499999E-2</v>
      </c>
      <c r="G194">
        <f t="shared" si="18"/>
        <v>3.5243058614368758E-2</v>
      </c>
      <c r="H194">
        <f>G194*1.002^4</f>
        <v>3.5525850045032212E-2</v>
      </c>
      <c r="I194">
        <f t="shared" si="19"/>
        <v>3.4646540960012372E-2</v>
      </c>
      <c r="J194">
        <f t="shared" si="20"/>
        <v>3.459460232110606E-2</v>
      </c>
    </row>
    <row r="195" spans="1:11" x14ac:dyDescent="0.25">
      <c r="A195" t="s">
        <v>45</v>
      </c>
      <c r="B195" t="s">
        <v>58</v>
      </c>
      <c r="C195" t="s">
        <v>506</v>
      </c>
      <c r="D195">
        <v>3.5000000000000003E-2</v>
      </c>
      <c r="E195">
        <f t="shared" ref="E195:E258" si="24">IF(B195="FUNGICIDES",D195*1,IF(B195="HERBICIDES",D195*1.2*1.33,IF(B195="GLYFOSAT",D195*1.33,IF(B195="INSECTICID",D195*1.33*2.5,"-"))))</f>
        <v>0.11637500000000002</v>
      </c>
      <c r="F195">
        <f t="shared" ref="F195:F258" si="25">E195*0.995^4</f>
        <v>0.1140648981352344</v>
      </c>
      <c r="G195">
        <f t="shared" ref="G195:G258" si="26">F195*0.9997^4</f>
        <v>0.11392808184019905</v>
      </c>
      <c r="H195">
        <f>G195</f>
        <v>0.11392808184019905</v>
      </c>
      <c r="I195">
        <f t="shared" ref="I195:I258" si="27">H195*0.995^5</f>
        <v>0.11110821976022106</v>
      </c>
      <c r="J195">
        <f t="shared" ref="J195:J258" si="28">I195*0.9997^5</f>
        <v>0.11094165739798381</v>
      </c>
      <c r="K195">
        <f>J195</f>
        <v>0.11094165739798381</v>
      </c>
    </row>
    <row r="196" spans="1:11" x14ac:dyDescent="0.25">
      <c r="A196" t="s">
        <v>45</v>
      </c>
      <c r="B196" t="s">
        <v>57</v>
      </c>
      <c r="C196" t="s">
        <v>503</v>
      </c>
      <c r="D196">
        <v>3.3000000000000002E-2</v>
      </c>
      <c r="E196">
        <f t="shared" si="24"/>
        <v>3.3000000000000002E-2</v>
      </c>
      <c r="F196">
        <f t="shared" si="25"/>
        <v>3.2344933520625001E-2</v>
      </c>
      <c r="G196">
        <f t="shared" si="26"/>
        <v>3.2306137063171363E-2</v>
      </c>
      <c r="I196">
        <f t="shared" si="27"/>
        <v>0</v>
      </c>
      <c r="J196">
        <f t="shared" si="28"/>
        <v>0</v>
      </c>
    </row>
    <row r="197" spans="1:11" x14ac:dyDescent="0.25">
      <c r="A197" t="s">
        <v>4</v>
      </c>
      <c r="B197" t="s">
        <v>57</v>
      </c>
      <c r="C197" t="s">
        <v>502</v>
      </c>
      <c r="D197">
        <v>0.03</v>
      </c>
      <c r="E197">
        <f t="shared" si="24"/>
        <v>0.03</v>
      </c>
      <c r="F197">
        <f t="shared" si="25"/>
        <v>2.9404485018749999E-2</v>
      </c>
      <c r="G197">
        <f t="shared" si="26"/>
        <v>2.9369215511973967E-2</v>
      </c>
      <c r="H197">
        <f>G197*1.002^4</f>
        <v>2.9604875037526845E-2</v>
      </c>
      <c r="I197">
        <f t="shared" si="27"/>
        <v>2.8872117466676981E-2</v>
      </c>
      <c r="J197">
        <f t="shared" si="28"/>
        <v>2.8828835267588386E-2</v>
      </c>
    </row>
    <row r="198" spans="1:11" x14ac:dyDescent="0.25">
      <c r="A198" t="s">
        <v>46</v>
      </c>
      <c r="B198" t="s">
        <v>58</v>
      </c>
      <c r="C198" t="s">
        <v>507</v>
      </c>
      <c r="D198">
        <v>2.8000000000000001E-2</v>
      </c>
      <c r="E198">
        <f t="shared" si="24"/>
        <v>9.3100000000000002E-2</v>
      </c>
      <c r="F198">
        <f t="shared" si="25"/>
        <v>9.1251918508187507E-2</v>
      </c>
      <c r="G198">
        <f t="shared" si="26"/>
        <v>9.114246547215922E-2</v>
      </c>
      <c r="H198">
        <f>G198</f>
        <v>9.114246547215922E-2</v>
      </c>
      <c r="I198">
        <f t="shared" si="27"/>
        <v>8.8886575808176826E-2</v>
      </c>
      <c r="J198">
        <f t="shared" si="28"/>
        <v>8.8753325918387027E-2</v>
      </c>
      <c r="K198">
        <f>J198</f>
        <v>8.8753325918387027E-2</v>
      </c>
    </row>
    <row r="199" spans="1:11" x14ac:dyDescent="0.25">
      <c r="A199" t="s">
        <v>45</v>
      </c>
      <c r="B199" t="s">
        <v>57</v>
      </c>
      <c r="C199" t="s">
        <v>504</v>
      </c>
      <c r="D199">
        <v>2.7E-2</v>
      </c>
      <c r="E199">
        <f t="shared" si="24"/>
        <v>2.7E-2</v>
      </c>
      <c r="F199">
        <f t="shared" si="25"/>
        <v>2.6464036516875001E-2</v>
      </c>
      <c r="G199">
        <f t="shared" si="26"/>
        <v>2.6432293960776572E-2</v>
      </c>
      <c r="I199">
        <f t="shared" si="27"/>
        <v>0</v>
      </c>
      <c r="J199">
        <f t="shared" si="28"/>
        <v>0</v>
      </c>
    </row>
    <row r="200" spans="1:11" x14ac:dyDescent="0.25">
      <c r="A200" t="s">
        <v>40</v>
      </c>
      <c r="B200" t="s">
        <v>58</v>
      </c>
      <c r="C200" t="s">
        <v>503</v>
      </c>
      <c r="D200">
        <v>2.5000000000000001E-2</v>
      </c>
      <c r="E200">
        <f t="shared" si="24"/>
        <v>8.3125000000000004E-2</v>
      </c>
      <c r="F200">
        <f t="shared" si="25"/>
        <v>8.147492723945314E-2</v>
      </c>
      <c r="G200">
        <f t="shared" si="26"/>
        <v>8.1377201314427883E-2</v>
      </c>
      <c r="I200">
        <f t="shared" si="27"/>
        <v>0</v>
      </c>
      <c r="J200">
        <f t="shared" si="28"/>
        <v>0</v>
      </c>
    </row>
    <row r="201" spans="1:11" x14ac:dyDescent="0.25">
      <c r="A201" t="s">
        <v>54</v>
      </c>
      <c r="B201" t="s">
        <v>58</v>
      </c>
      <c r="C201" t="s">
        <v>507</v>
      </c>
      <c r="D201">
        <v>2.5000000000000001E-2</v>
      </c>
      <c r="E201">
        <f t="shared" si="24"/>
        <v>8.3125000000000004E-2</v>
      </c>
      <c r="F201">
        <f t="shared" si="25"/>
        <v>8.147492723945314E-2</v>
      </c>
      <c r="G201">
        <f t="shared" si="26"/>
        <v>8.1377201314427883E-2</v>
      </c>
      <c r="H201">
        <f>G201</f>
        <v>8.1377201314427883E-2</v>
      </c>
      <c r="I201">
        <f t="shared" si="27"/>
        <v>7.9363014114443603E-2</v>
      </c>
      <c r="J201">
        <f t="shared" si="28"/>
        <v>7.9244040998559848E-2</v>
      </c>
      <c r="K201">
        <f>J201</f>
        <v>7.9244040998559848E-2</v>
      </c>
    </row>
    <row r="202" spans="1:11" x14ac:dyDescent="0.25">
      <c r="A202" t="s">
        <v>45</v>
      </c>
      <c r="B202" t="s">
        <v>58</v>
      </c>
      <c r="C202" t="s">
        <v>503</v>
      </c>
      <c r="D202">
        <v>2.4E-2</v>
      </c>
      <c r="E202">
        <f t="shared" si="24"/>
        <v>7.980000000000001E-2</v>
      </c>
      <c r="F202">
        <f t="shared" si="25"/>
        <v>7.8215930149875018E-2</v>
      </c>
      <c r="G202">
        <f t="shared" si="26"/>
        <v>7.812211326185077E-2</v>
      </c>
      <c r="I202">
        <f t="shared" si="27"/>
        <v>0</v>
      </c>
      <c r="J202">
        <f t="shared" si="28"/>
        <v>0</v>
      </c>
    </row>
    <row r="203" spans="1:11" x14ac:dyDescent="0.25">
      <c r="A203" t="s">
        <v>26</v>
      </c>
      <c r="B203" t="s">
        <v>55</v>
      </c>
      <c r="C203" t="s">
        <v>501</v>
      </c>
      <c r="D203">
        <v>0.02</v>
      </c>
      <c r="E203">
        <f t="shared" si="24"/>
        <v>2.6600000000000002E-2</v>
      </c>
      <c r="F203">
        <f t="shared" si="25"/>
        <v>2.6071976716625003E-2</v>
      </c>
      <c r="G203">
        <f t="shared" si="26"/>
        <v>2.6040704420616921E-2</v>
      </c>
      <c r="H203">
        <f t="shared" ref="H203:H213" si="29">G203*1.002^4</f>
        <v>2.624965586660714E-2</v>
      </c>
      <c r="I203">
        <f t="shared" si="27"/>
        <v>2.5599944153786927E-2</v>
      </c>
      <c r="J203">
        <f t="shared" si="28"/>
        <v>2.556156727059504E-2</v>
      </c>
      <c r="K203">
        <f t="shared" ref="K203:K212" si="30">J203*1.002^5</f>
        <v>2.5818207452962937E-2</v>
      </c>
    </row>
    <row r="204" spans="1:11" x14ac:dyDescent="0.25">
      <c r="A204" t="s">
        <v>28</v>
      </c>
      <c r="B204" t="s">
        <v>55</v>
      </c>
      <c r="C204" t="s">
        <v>501</v>
      </c>
      <c r="D204">
        <v>0.02</v>
      </c>
      <c r="E204">
        <f t="shared" si="24"/>
        <v>2.6600000000000002E-2</v>
      </c>
      <c r="F204">
        <f t="shared" si="25"/>
        <v>2.6071976716625003E-2</v>
      </c>
      <c r="G204">
        <f t="shared" si="26"/>
        <v>2.6040704420616921E-2</v>
      </c>
      <c r="H204">
        <f t="shared" si="29"/>
        <v>2.624965586660714E-2</v>
      </c>
      <c r="I204">
        <f t="shared" si="27"/>
        <v>2.5599944153786927E-2</v>
      </c>
      <c r="J204">
        <f t="shared" si="28"/>
        <v>2.556156727059504E-2</v>
      </c>
      <c r="K204">
        <f t="shared" si="30"/>
        <v>2.5818207452962937E-2</v>
      </c>
    </row>
    <row r="205" spans="1:11" x14ac:dyDescent="0.25">
      <c r="A205" t="s">
        <v>56</v>
      </c>
      <c r="B205" t="s">
        <v>55</v>
      </c>
      <c r="C205" t="s">
        <v>501</v>
      </c>
      <c r="D205">
        <v>0.02</v>
      </c>
      <c r="E205">
        <f t="shared" si="24"/>
        <v>2.6600000000000002E-2</v>
      </c>
      <c r="F205">
        <f t="shared" si="25"/>
        <v>2.6071976716625003E-2</v>
      </c>
      <c r="G205">
        <f t="shared" si="26"/>
        <v>2.6040704420616921E-2</v>
      </c>
      <c r="H205">
        <f t="shared" si="29"/>
        <v>2.624965586660714E-2</v>
      </c>
      <c r="I205">
        <f t="shared" si="27"/>
        <v>2.5599944153786927E-2</v>
      </c>
      <c r="J205">
        <f t="shared" si="28"/>
        <v>2.556156727059504E-2</v>
      </c>
      <c r="K205">
        <f t="shared" si="30"/>
        <v>2.5818207452962937E-2</v>
      </c>
    </row>
    <row r="206" spans="1:11" x14ac:dyDescent="0.25">
      <c r="A206" t="s">
        <v>35</v>
      </c>
      <c r="B206" t="s">
        <v>55</v>
      </c>
      <c r="C206" t="s">
        <v>501</v>
      </c>
      <c r="D206">
        <v>0.02</v>
      </c>
      <c r="E206">
        <f t="shared" si="24"/>
        <v>2.6600000000000002E-2</v>
      </c>
      <c r="F206">
        <f t="shared" si="25"/>
        <v>2.6071976716625003E-2</v>
      </c>
      <c r="G206">
        <f t="shared" si="26"/>
        <v>2.6040704420616921E-2</v>
      </c>
      <c r="H206">
        <f t="shared" si="29"/>
        <v>2.624965586660714E-2</v>
      </c>
      <c r="I206">
        <f t="shared" si="27"/>
        <v>2.5599944153786927E-2</v>
      </c>
      <c r="J206">
        <f t="shared" si="28"/>
        <v>2.556156727059504E-2</v>
      </c>
      <c r="K206">
        <f t="shared" si="30"/>
        <v>2.5818207452962937E-2</v>
      </c>
    </row>
    <row r="207" spans="1:11" x14ac:dyDescent="0.25">
      <c r="A207" t="s">
        <v>36</v>
      </c>
      <c r="B207" t="s">
        <v>55</v>
      </c>
      <c r="C207" t="s">
        <v>501</v>
      </c>
      <c r="D207">
        <v>0.02</v>
      </c>
      <c r="E207">
        <f t="shared" si="24"/>
        <v>2.6600000000000002E-2</v>
      </c>
      <c r="F207">
        <f t="shared" si="25"/>
        <v>2.6071976716625003E-2</v>
      </c>
      <c r="G207">
        <f t="shared" si="26"/>
        <v>2.6040704420616921E-2</v>
      </c>
      <c r="H207">
        <f t="shared" si="29"/>
        <v>2.624965586660714E-2</v>
      </c>
      <c r="I207">
        <f t="shared" si="27"/>
        <v>2.5599944153786927E-2</v>
      </c>
      <c r="J207">
        <f t="shared" si="28"/>
        <v>2.556156727059504E-2</v>
      </c>
      <c r="K207">
        <f t="shared" si="30"/>
        <v>2.5818207452962937E-2</v>
      </c>
    </row>
    <row r="208" spans="1:11" x14ac:dyDescent="0.25">
      <c r="A208" t="s">
        <v>26</v>
      </c>
      <c r="B208" t="s">
        <v>55</v>
      </c>
      <c r="C208" t="s">
        <v>500</v>
      </c>
      <c r="D208">
        <v>0.02</v>
      </c>
      <c r="E208">
        <f t="shared" si="24"/>
        <v>2.6600000000000002E-2</v>
      </c>
      <c r="F208">
        <f t="shared" si="25"/>
        <v>2.6071976716625003E-2</v>
      </c>
      <c r="G208">
        <f t="shared" si="26"/>
        <v>2.6040704420616921E-2</v>
      </c>
      <c r="H208">
        <f t="shared" si="29"/>
        <v>2.624965586660714E-2</v>
      </c>
      <c r="I208">
        <f t="shared" si="27"/>
        <v>2.5599944153786927E-2</v>
      </c>
      <c r="J208">
        <f t="shared" si="28"/>
        <v>2.556156727059504E-2</v>
      </c>
      <c r="K208">
        <f t="shared" si="30"/>
        <v>2.5818207452962937E-2</v>
      </c>
    </row>
    <row r="209" spans="1:11" x14ac:dyDescent="0.25">
      <c r="A209" t="s">
        <v>28</v>
      </c>
      <c r="B209" t="s">
        <v>55</v>
      </c>
      <c r="C209" t="s">
        <v>500</v>
      </c>
      <c r="D209">
        <v>0.02</v>
      </c>
      <c r="E209">
        <f t="shared" si="24"/>
        <v>2.6600000000000002E-2</v>
      </c>
      <c r="F209">
        <f t="shared" si="25"/>
        <v>2.6071976716625003E-2</v>
      </c>
      <c r="G209">
        <f t="shared" si="26"/>
        <v>2.6040704420616921E-2</v>
      </c>
      <c r="H209">
        <f t="shared" si="29"/>
        <v>2.624965586660714E-2</v>
      </c>
      <c r="I209">
        <f t="shared" si="27"/>
        <v>2.5599944153786927E-2</v>
      </c>
      <c r="J209">
        <f t="shared" si="28"/>
        <v>2.556156727059504E-2</v>
      </c>
      <c r="K209">
        <f t="shared" si="30"/>
        <v>2.5818207452962937E-2</v>
      </c>
    </row>
    <row r="210" spans="1:11" x14ac:dyDescent="0.25">
      <c r="A210" t="s">
        <v>56</v>
      </c>
      <c r="B210" t="s">
        <v>55</v>
      </c>
      <c r="C210" t="s">
        <v>500</v>
      </c>
      <c r="D210">
        <v>0.02</v>
      </c>
      <c r="E210">
        <f t="shared" si="24"/>
        <v>2.6600000000000002E-2</v>
      </c>
      <c r="F210">
        <f t="shared" si="25"/>
        <v>2.6071976716625003E-2</v>
      </c>
      <c r="G210">
        <f t="shared" si="26"/>
        <v>2.6040704420616921E-2</v>
      </c>
      <c r="H210">
        <f t="shared" si="29"/>
        <v>2.624965586660714E-2</v>
      </c>
      <c r="I210">
        <f t="shared" si="27"/>
        <v>2.5599944153786927E-2</v>
      </c>
      <c r="J210">
        <f t="shared" si="28"/>
        <v>2.556156727059504E-2</v>
      </c>
      <c r="K210">
        <f t="shared" si="30"/>
        <v>2.5818207452962937E-2</v>
      </c>
    </row>
    <row r="211" spans="1:11" x14ac:dyDescent="0.25">
      <c r="A211" t="s">
        <v>35</v>
      </c>
      <c r="B211" t="s">
        <v>55</v>
      </c>
      <c r="C211" t="s">
        <v>500</v>
      </c>
      <c r="D211">
        <v>0.02</v>
      </c>
      <c r="E211">
        <f t="shared" si="24"/>
        <v>2.6600000000000002E-2</v>
      </c>
      <c r="F211">
        <f t="shared" si="25"/>
        <v>2.6071976716625003E-2</v>
      </c>
      <c r="G211">
        <f t="shared" si="26"/>
        <v>2.6040704420616921E-2</v>
      </c>
      <c r="H211">
        <f t="shared" si="29"/>
        <v>2.624965586660714E-2</v>
      </c>
      <c r="I211">
        <f t="shared" si="27"/>
        <v>2.5599944153786927E-2</v>
      </c>
      <c r="J211">
        <f t="shared" si="28"/>
        <v>2.556156727059504E-2</v>
      </c>
      <c r="K211">
        <f t="shared" si="30"/>
        <v>2.5818207452962937E-2</v>
      </c>
    </row>
    <row r="212" spans="1:11" x14ac:dyDescent="0.25">
      <c r="A212" t="s">
        <v>36</v>
      </c>
      <c r="B212" t="s">
        <v>55</v>
      </c>
      <c r="C212" t="s">
        <v>500</v>
      </c>
      <c r="D212">
        <v>0.02</v>
      </c>
      <c r="E212">
        <f t="shared" si="24"/>
        <v>2.6600000000000002E-2</v>
      </c>
      <c r="F212">
        <f t="shared" si="25"/>
        <v>2.6071976716625003E-2</v>
      </c>
      <c r="G212">
        <f t="shared" si="26"/>
        <v>2.6040704420616921E-2</v>
      </c>
      <c r="H212">
        <f t="shared" si="29"/>
        <v>2.624965586660714E-2</v>
      </c>
      <c r="I212">
        <f t="shared" si="27"/>
        <v>2.5599944153786927E-2</v>
      </c>
      <c r="J212">
        <f t="shared" si="28"/>
        <v>2.556156727059504E-2</v>
      </c>
      <c r="K212">
        <f t="shared" si="30"/>
        <v>2.5818207452962937E-2</v>
      </c>
    </row>
    <row r="213" spans="1:11" x14ac:dyDescent="0.25">
      <c r="A213" t="s">
        <v>45</v>
      </c>
      <c r="B213" t="s">
        <v>57</v>
      </c>
      <c r="C213" t="s">
        <v>502</v>
      </c>
      <c r="D213">
        <v>0.02</v>
      </c>
      <c r="E213">
        <f t="shared" si="24"/>
        <v>0.02</v>
      </c>
      <c r="F213">
        <f t="shared" si="25"/>
        <v>1.9602990012500002E-2</v>
      </c>
      <c r="G213">
        <f t="shared" si="26"/>
        <v>1.9579477007982647E-2</v>
      </c>
      <c r="H213">
        <f t="shared" si="29"/>
        <v>1.9736583358351233E-2</v>
      </c>
      <c r="I213">
        <f t="shared" si="27"/>
        <v>1.9248078311117991E-2</v>
      </c>
      <c r="J213">
        <f t="shared" si="28"/>
        <v>1.9219223511725596E-2</v>
      </c>
    </row>
    <row r="214" spans="1:11" x14ac:dyDescent="0.25">
      <c r="A214" t="s">
        <v>37</v>
      </c>
      <c r="B214" t="s">
        <v>58</v>
      </c>
      <c r="C214" t="s">
        <v>506</v>
      </c>
      <c r="D214">
        <v>1.7999999999999999E-2</v>
      </c>
      <c r="E214">
        <f t="shared" si="24"/>
        <v>5.985E-2</v>
      </c>
      <c r="F214">
        <f t="shared" si="25"/>
        <v>5.8661947612406257E-2</v>
      </c>
      <c r="G214">
        <f t="shared" si="26"/>
        <v>5.8591584946388074E-2</v>
      </c>
      <c r="H214">
        <f t="shared" ref="H214:H219" si="31">G214</f>
        <v>5.8591584946388074E-2</v>
      </c>
      <c r="I214">
        <f t="shared" si="27"/>
        <v>5.7141370162399396E-2</v>
      </c>
      <c r="J214">
        <f t="shared" si="28"/>
        <v>5.7055709518963098E-2</v>
      </c>
      <c r="K214">
        <f t="shared" ref="K214:K219" si="32">J214</f>
        <v>5.7055709518963098E-2</v>
      </c>
    </row>
    <row r="215" spans="1:11" x14ac:dyDescent="0.25">
      <c r="A215" t="s">
        <v>53</v>
      </c>
      <c r="B215" t="s">
        <v>58</v>
      </c>
      <c r="C215" t="s">
        <v>507</v>
      </c>
      <c r="D215">
        <v>1.7999999999999999E-2</v>
      </c>
      <c r="E215">
        <f t="shared" si="24"/>
        <v>5.985E-2</v>
      </c>
      <c r="F215">
        <f t="shared" si="25"/>
        <v>5.8661947612406257E-2</v>
      </c>
      <c r="G215">
        <f t="shared" si="26"/>
        <v>5.8591584946388074E-2</v>
      </c>
      <c r="H215">
        <f t="shared" si="31"/>
        <v>5.8591584946388074E-2</v>
      </c>
      <c r="I215">
        <f t="shared" si="27"/>
        <v>5.7141370162399396E-2</v>
      </c>
      <c r="J215">
        <f t="shared" si="28"/>
        <v>5.7055709518963098E-2</v>
      </c>
      <c r="K215">
        <f t="shared" si="32"/>
        <v>5.7055709518963098E-2</v>
      </c>
    </row>
    <row r="216" spans="1:11" x14ac:dyDescent="0.25">
      <c r="A216" t="s">
        <v>47</v>
      </c>
      <c r="B216" t="s">
        <v>58</v>
      </c>
      <c r="C216" t="s">
        <v>507</v>
      </c>
      <c r="D216">
        <v>1.7999999999999999E-2</v>
      </c>
      <c r="E216">
        <f t="shared" si="24"/>
        <v>5.985E-2</v>
      </c>
      <c r="F216">
        <f t="shared" si="25"/>
        <v>5.8661947612406257E-2</v>
      </c>
      <c r="G216">
        <f t="shared" si="26"/>
        <v>5.8591584946388074E-2</v>
      </c>
      <c r="H216">
        <f t="shared" si="31"/>
        <v>5.8591584946388074E-2</v>
      </c>
      <c r="I216">
        <f t="shared" si="27"/>
        <v>5.7141370162399396E-2</v>
      </c>
      <c r="J216">
        <f t="shared" si="28"/>
        <v>5.7055709518963098E-2</v>
      </c>
      <c r="K216">
        <f t="shared" si="32"/>
        <v>5.7055709518963098E-2</v>
      </c>
    </row>
    <row r="217" spans="1:11" x14ac:dyDescent="0.25">
      <c r="A217" t="s">
        <v>46</v>
      </c>
      <c r="B217" t="s">
        <v>58</v>
      </c>
      <c r="C217" t="s">
        <v>506</v>
      </c>
      <c r="D217">
        <v>1.7000000000000001E-2</v>
      </c>
      <c r="E217">
        <f t="shared" si="24"/>
        <v>5.6525000000000006E-2</v>
      </c>
      <c r="F217">
        <f t="shared" si="25"/>
        <v>5.5402950522828134E-2</v>
      </c>
      <c r="G217">
        <f t="shared" si="26"/>
        <v>5.5336496893810962E-2</v>
      </c>
      <c r="H217">
        <f t="shared" si="31"/>
        <v>5.5336496893810962E-2</v>
      </c>
      <c r="I217">
        <f t="shared" si="27"/>
        <v>5.3966849597821658E-2</v>
      </c>
      <c r="J217">
        <f t="shared" si="28"/>
        <v>5.3885947879020707E-2</v>
      </c>
      <c r="K217">
        <f t="shared" si="32"/>
        <v>5.3885947879020707E-2</v>
      </c>
    </row>
    <row r="218" spans="1:11" x14ac:dyDescent="0.25">
      <c r="A218" t="s">
        <v>54</v>
      </c>
      <c r="B218" t="s">
        <v>57</v>
      </c>
      <c r="C218" t="s">
        <v>507</v>
      </c>
      <c r="D218">
        <v>1.7000000000000001E-2</v>
      </c>
      <c r="E218">
        <f t="shared" si="24"/>
        <v>1.7000000000000001E-2</v>
      </c>
      <c r="F218">
        <f t="shared" si="25"/>
        <v>1.6662541510625004E-2</v>
      </c>
      <c r="G218">
        <f t="shared" si="26"/>
        <v>1.6642555456785252E-2</v>
      </c>
      <c r="H218">
        <f t="shared" si="31"/>
        <v>1.6642555456785252E-2</v>
      </c>
      <c r="I218">
        <f t="shared" si="27"/>
        <v>1.6230631457991473E-2</v>
      </c>
      <c r="J218">
        <f t="shared" si="28"/>
        <v>1.6206300113991188E-2</v>
      </c>
      <c r="K218">
        <f t="shared" si="32"/>
        <v>1.6206300113991188E-2</v>
      </c>
    </row>
    <row r="219" spans="1:11" x14ac:dyDescent="0.25">
      <c r="A219" t="s">
        <v>34</v>
      </c>
      <c r="B219" t="s">
        <v>57</v>
      </c>
      <c r="C219" t="s">
        <v>507</v>
      </c>
      <c r="D219">
        <v>1.7000000000000001E-2</v>
      </c>
      <c r="E219">
        <f t="shared" si="24"/>
        <v>1.7000000000000001E-2</v>
      </c>
      <c r="F219">
        <f t="shared" si="25"/>
        <v>1.6662541510625004E-2</v>
      </c>
      <c r="G219">
        <f t="shared" si="26"/>
        <v>1.6642555456785252E-2</v>
      </c>
      <c r="H219">
        <f t="shared" si="31"/>
        <v>1.6642555456785252E-2</v>
      </c>
      <c r="I219">
        <f t="shared" si="27"/>
        <v>1.6230631457991473E-2</v>
      </c>
      <c r="J219">
        <f t="shared" si="28"/>
        <v>1.6206300113991188E-2</v>
      </c>
      <c r="K219">
        <f t="shared" si="32"/>
        <v>1.6206300113991188E-2</v>
      </c>
    </row>
    <row r="220" spans="1:11" x14ac:dyDescent="0.25">
      <c r="A220" t="s">
        <v>4</v>
      </c>
      <c r="B220" t="s">
        <v>57</v>
      </c>
      <c r="C220" t="s">
        <v>503</v>
      </c>
      <c r="D220">
        <v>1.6E-2</v>
      </c>
      <c r="E220">
        <f t="shared" si="24"/>
        <v>1.6E-2</v>
      </c>
      <c r="F220">
        <f t="shared" si="25"/>
        <v>1.5682392010000001E-2</v>
      </c>
      <c r="G220">
        <f t="shared" si="26"/>
        <v>1.5663581606386118E-2</v>
      </c>
      <c r="I220">
        <f t="shared" si="27"/>
        <v>0</v>
      </c>
      <c r="J220">
        <f t="shared" si="28"/>
        <v>0</v>
      </c>
    </row>
    <row r="221" spans="1:11" x14ac:dyDescent="0.25">
      <c r="A221" t="s">
        <v>4</v>
      </c>
      <c r="B221" t="s">
        <v>55</v>
      </c>
      <c r="C221" t="s">
        <v>501</v>
      </c>
      <c r="D221">
        <v>1.6E-2</v>
      </c>
      <c r="E221">
        <f t="shared" si="24"/>
        <v>2.128E-2</v>
      </c>
      <c r="F221">
        <f t="shared" si="25"/>
        <v>2.0857581373300002E-2</v>
      </c>
      <c r="G221">
        <f t="shared" si="26"/>
        <v>2.0832563536493535E-2</v>
      </c>
      <c r="H221">
        <f t="shared" ref="H221:H229" si="33">G221*1.002^4</f>
        <v>2.0999724693285711E-2</v>
      </c>
      <c r="I221">
        <f t="shared" si="27"/>
        <v>2.0479955323029542E-2</v>
      </c>
      <c r="J221">
        <f t="shared" si="28"/>
        <v>2.0449253816476033E-2</v>
      </c>
      <c r="K221">
        <f t="shared" ref="K221:K229" si="34">J221*1.002^5</f>
        <v>2.0654565962370353E-2</v>
      </c>
    </row>
    <row r="222" spans="1:11" x14ac:dyDescent="0.25">
      <c r="A222" t="s">
        <v>34</v>
      </c>
      <c r="B222" t="s">
        <v>55</v>
      </c>
      <c r="C222" t="s">
        <v>501</v>
      </c>
      <c r="D222">
        <v>1.6E-2</v>
      </c>
      <c r="E222">
        <f t="shared" si="24"/>
        <v>2.128E-2</v>
      </c>
      <c r="F222">
        <f t="shared" si="25"/>
        <v>2.0857581373300002E-2</v>
      </c>
      <c r="G222">
        <f t="shared" si="26"/>
        <v>2.0832563536493535E-2</v>
      </c>
      <c r="H222">
        <f t="shared" si="33"/>
        <v>2.0999724693285711E-2</v>
      </c>
      <c r="I222">
        <f t="shared" si="27"/>
        <v>2.0479955323029542E-2</v>
      </c>
      <c r="J222">
        <f t="shared" si="28"/>
        <v>2.0449253816476033E-2</v>
      </c>
      <c r="K222">
        <f t="shared" si="34"/>
        <v>2.0654565962370353E-2</v>
      </c>
    </row>
    <row r="223" spans="1:11" x14ac:dyDescent="0.25">
      <c r="A223" t="s">
        <v>40</v>
      </c>
      <c r="B223" t="s">
        <v>55</v>
      </c>
      <c r="C223" t="s">
        <v>501</v>
      </c>
      <c r="D223">
        <v>1.6E-2</v>
      </c>
      <c r="E223">
        <f t="shared" si="24"/>
        <v>2.128E-2</v>
      </c>
      <c r="F223">
        <f t="shared" si="25"/>
        <v>2.0857581373300002E-2</v>
      </c>
      <c r="G223">
        <f t="shared" si="26"/>
        <v>2.0832563536493535E-2</v>
      </c>
      <c r="H223">
        <f t="shared" si="33"/>
        <v>2.0999724693285711E-2</v>
      </c>
      <c r="I223">
        <f t="shared" si="27"/>
        <v>2.0479955323029542E-2</v>
      </c>
      <c r="J223">
        <f t="shared" si="28"/>
        <v>2.0449253816476033E-2</v>
      </c>
      <c r="K223">
        <f t="shared" si="34"/>
        <v>2.0654565962370353E-2</v>
      </c>
    </row>
    <row r="224" spans="1:11" x14ac:dyDescent="0.25">
      <c r="A224" t="s">
        <v>53</v>
      </c>
      <c r="B224" t="s">
        <v>55</v>
      </c>
      <c r="C224" t="s">
        <v>501</v>
      </c>
      <c r="D224">
        <v>1.6E-2</v>
      </c>
      <c r="E224">
        <f t="shared" si="24"/>
        <v>2.128E-2</v>
      </c>
      <c r="F224">
        <f t="shared" si="25"/>
        <v>2.0857581373300002E-2</v>
      </c>
      <c r="G224">
        <f t="shared" si="26"/>
        <v>2.0832563536493535E-2</v>
      </c>
      <c r="H224">
        <f t="shared" si="33"/>
        <v>2.0999724693285711E-2</v>
      </c>
      <c r="I224">
        <f t="shared" si="27"/>
        <v>2.0479955323029542E-2</v>
      </c>
      <c r="J224">
        <f t="shared" si="28"/>
        <v>2.0449253816476033E-2</v>
      </c>
      <c r="K224">
        <f t="shared" si="34"/>
        <v>2.0654565962370353E-2</v>
      </c>
    </row>
    <row r="225" spans="1:11" x14ac:dyDescent="0.25">
      <c r="A225" t="s">
        <v>45</v>
      </c>
      <c r="B225" t="s">
        <v>55</v>
      </c>
      <c r="C225" t="s">
        <v>501</v>
      </c>
      <c r="D225">
        <v>1.6E-2</v>
      </c>
      <c r="E225">
        <f t="shared" si="24"/>
        <v>2.128E-2</v>
      </c>
      <c r="F225">
        <f t="shared" si="25"/>
        <v>2.0857581373300002E-2</v>
      </c>
      <c r="G225">
        <f t="shared" si="26"/>
        <v>2.0832563536493535E-2</v>
      </c>
      <c r="H225">
        <f t="shared" si="33"/>
        <v>2.0999724693285711E-2</v>
      </c>
      <c r="I225">
        <f t="shared" si="27"/>
        <v>2.0479955323029542E-2</v>
      </c>
      <c r="J225">
        <f t="shared" si="28"/>
        <v>2.0449253816476033E-2</v>
      </c>
      <c r="K225">
        <f t="shared" si="34"/>
        <v>2.0654565962370353E-2</v>
      </c>
    </row>
    <row r="226" spans="1:11" x14ac:dyDescent="0.25">
      <c r="A226" t="s">
        <v>46</v>
      </c>
      <c r="B226" t="s">
        <v>55</v>
      </c>
      <c r="C226" t="s">
        <v>501</v>
      </c>
      <c r="D226">
        <v>1.6E-2</v>
      </c>
      <c r="E226">
        <f t="shared" si="24"/>
        <v>2.128E-2</v>
      </c>
      <c r="F226">
        <f t="shared" si="25"/>
        <v>2.0857581373300002E-2</v>
      </c>
      <c r="G226">
        <f t="shared" si="26"/>
        <v>2.0832563536493535E-2</v>
      </c>
      <c r="H226">
        <f t="shared" si="33"/>
        <v>2.0999724693285711E-2</v>
      </c>
      <c r="I226">
        <f t="shared" si="27"/>
        <v>2.0479955323029542E-2</v>
      </c>
      <c r="J226">
        <f t="shared" si="28"/>
        <v>2.0449253816476033E-2</v>
      </c>
      <c r="K226">
        <f t="shared" si="34"/>
        <v>2.0654565962370353E-2</v>
      </c>
    </row>
    <row r="227" spans="1:11" x14ac:dyDescent="0.25">
      <c r="A227" t="s">
        <v>47</v>
      </c>
      <c r="B227" t="s">
        <v>55</v>
      </c>
      <c r="C227" t="s">
        <v>501</v>
      </c>
      <c r="D227">
        <v>1.6E-2</v>
      </c>
      <c r="E227">
        <f t="shared" si="24"/>
        <v>2.128E-2</v>
      </c>
      <c r="F227">
        <f t="shared" si="25"/>
        <v>2.0857581373300002E-2</v>
      </c>
      <c r="G227">
        <f t="shared" si="26"/>
        <v>2.0832563536493535E-2</v>
      </c>
      <c r="H227">
        <f t="shared" si="33"/>
        <v>2.0999724693285711E-2</v>
      </c>
      <c r="I227">
        <f t="shared" si="27"/>
        <v>2.0479955323029542E-2</v>
      </c>
      <c r="J227">
        <f t="shared" si="28"/>
        <v>2.0449253816476033E-2</v>
      </c>
      <c r="K227">
        <f t="shared" si="34"/>
        <v>2.0654565962370353E-2</v>
      </c>
    </row>
    <row r="228" spans="1:11" x14ac:dyDescent="0.25">
      <c r="A228" t="s">
        <v>4</v>
      </c>
      <c r="B228" t="s">
        <v>55</v>
      </c>
      <c r="C228" t="s">
        <v>500</v>
      </c>
      <c r="D228">
        <v>1.6E-2</v>
      </c>
      <c r="E228">
        <f t="shared" si="24"/>
        <v>2.128E-2</v>
      </c>
      <c r="F228">
        <f t="shared" si="25"/>
        <v>2.0857581373300002E-2</v>
      </c>
      <c r="G228">
        <f t="shared" si="26"/>
        <v>2.0832563536493535E-2</v>
      </c>
      <c r="H228">
        <f t="shared" si="33"/>
        <v>2.0999724693285711E-2</v>
      </c>
      <c r="I228">
        <f t="shared" si="27"/>
        <v>2.0479955323029542E-2</v>
      </c>
      <c r="J228">
        <f t="shared" si="28"/>
        <v>2.0449253816476033E-2</v>
      </c>
      <c r="K228">
        <f t="shared" si="34"/>
        <v>2.0654565962370353E-2</v>
      </c>
    </row>
    <row r="229" spans="1:11" x14ac:dyDescent="0.25">
      <c r="A229" t="s">
        <v>34</v>
      </c>
      <c r="B229" t="s">
        <v>55</v>
      </c>
      <c r="C229" t="s">
        <v>500</v>
      </c>
      <c r="D229">
        <v>1.6E-2</v>
      </c>
      <c r="E229">
        <f t="shared" si="24"/>
        <v>2.128E-2</v>
      </c>
      <c r="F229">
        <f t="shared" si="25"/>
        <v>2.0857581373300002E-2</v>
      </c>
      <c r="G229">
        <f t="shared" si="26"/>
        <v>2.0832563536493535E-2</v>
      </c>
      <c r="H229">
        <f t="shared" si="33"/>
        <v>2.0999724693285711E-2</v>
      </c>
      <c r="I229">
        <f t="shared" si="27"/>
        <v>2.0479955323029542E-2</v>
      </c>
      <c r="J229">
        <f t="shared" si="28"/>
        <v>2.0449253816476033E-2</v>
      </c>
      <c r="K229">
        <f t="shared" si="34"/>
        <v>2.0654565962370353E-2</v>
      </c>
    </row>
    <row r="230" spans="1:11" x14ac:dyDescent="0.25">
      <c r="A230" t="s">
        <v>4</v>
      </c>
      <c r="B230" t="s">
        <v>58</v>
      </c>
      <c r="C230" t="s">
        <v>507</v>
      </c>
      <c r="D230">
        <v>1.4999999999999999E-2</v>
      </c>
      <c r="E230">
        <f t="shared" si="24"/>
        <v>4.9874999999999996E-2</v>
      </c>
      <c r="F230">
        <f t="shared" si="25"/>
        <v>4.8884956343671876E-2</v>
      </c>
      <c r="G230">
        <f t="shared" si="26"/>
        <v>4.8826320788656723E-2</v>
      </c>
      <c r="H230">
        <f>G230</f>
        <v>4.8826320788656723E-2</v>
      </c>
      <c r="I230">
        <f t="shared" si="27"/>
        <v>4.7617808468666159E-2</v>
      </c>
      <c r="J230">
        <f t="shared" si="28"/>
        <v>4.7546424599135911E-2</v>
      </c>
      <c r="K230">
        <f>J230</f>
        <v>4.7546424599135911E-2</v>
      </c>
    </row>
    <row r="231" spans="1:11" x14ac:dyDescent="0.25">
      <c r="A231" t="s">
        <v>40</v>
      </c>
      <c r="B231" t="s">
        <v>58</v>
      </c>
      <c r="C231" t="s">
        <v>504</v>
      </c>
      <c r="D231">
        <v>1.4E-2</v>
      </c>
      <c r="E231">
        <f t="shared" si="24"/>
        <v>4.6550000000000001E-2</v>
      </c>
      <c r="F231">
        <f t="shared" si="25"/>
        <v>4.5625959254093754E-2</v>
      </c>
      <c r="G231">
        <f t="shared" si="26"/>
        <v>4.557123273607961E-2</v>
      </c>
      <c r="I231">
        <f t="shared" si="27"/>
        <v>0</v>
      </c>
      <c r="J231">
        <f t="shared" si="28"/>
        <v>0</v>
      </c>
    </row>
    <row r="232" spans="1:11" x14ac:dyDescent="0.25">
      <c r="A232" t="s">
        <v>45</v>
      </c>
      <c r="B232" t="s">
        <v>58</v>
      </c>
      <c r="C232" t="s">
        <v>504</v>
      </c>
      <c r="D232">
        <v>1.2999999999999999E-2</v>
      </c>
      <c r="E232">
        <f t="shared" si="24"/>
        <v>4.3225E-2</v>
      </c>
      <c r="F232">
        <f t="shared" si="25"/>
        <v>4.2366962164515624E-2</v>
      </c>
      <c r="G232">
        <f t="shared" si="26"/>
        <v>4.2316144683502491E-2</v>
      </c>
      <c r="I232">
        <f t="shared" si="27"/>
        <v>0</v>
      </c>
      <c r="J232">
        <f t="shared" si="28"/>
        <v>0</v>
      </c>
    </row>
    <row r="233" spans="1:11" x14ac:dyDescent="0.25">
      <c r="A233" t="s">
        <v>34</v>
      </c>
      <c r="B233" t="s">
        <v>57</v>
      </c>
      <c r="C233" t="s">
        <v>506</v>
      </c>
      <c r="D233">
        <v>1.0999999999999999E-2</v>
      </c>
      <c r="E233">
        <f t="shared" si="24"/>
        <v>1.0999999999999999E-2</v>
      </c>
      <c r="F233">
        <f t="shared" si="25"/>
        <v>1.0781644506875E-2</v>
      </c>
      <c r="G233">
        <f t="shared" si="26"/>
        <v>1.0768712354390456E-2</v>
      </c>
      <c r="H233">
        <f>G233</f>
        <v>1.0768712354390456E-2</v>
      </c>
      <c r="I233">
        <f t="shared" si="27"/>
        <v>1.0502173296347424E-2</v>
      </c>
      <c r="J233">
        <f t="shared" si="28"/>
        <v>1.048642948552371E-2</v>
      </c>
      <c r="K233">
        <f>J233</f>
        <v>1.048642948552371E-2</v>
      </c>
    </row>
    <row r="234" spans="1:11" x14ac:dyDescent="0.25">
      <c r="A234" t="s">
        <v>53</v>
      </c>
      <c r="B234" t="s">
        <v>58</v>
      </c>
      <c r="C234" t="s">
        <v>506</v>
      </c>
      <c r="D234">
        <v>1.0999999999999999E-2</v>
      </c>
      <c r="E234">
        <f t="shared" si="24"/>
        <v>3.6575000000000003E-2</v>
      </c>
      <c r="F234">
        <f t="shared" si="25"/>
        <v>3.584896798535938E-2</v>
      </c>
      <c r="G234">
        <f t="shared" si="26"/>
        <v>3.5805968578348266E-2</v>
      </c>
      <c r="H234">
        <f>G234</f>
        <v>3.5805968578348266E-2</v>
      </c>
      <c r="I234">
        <f t="shared" si="27"/>
        <v>3.4919726210355183E-2</v>
      </c>
      <c r="J234">
        <f t="shared" si="28"/>
        <v>3.4867378039366334E-2</v>
      </c>
      <c r="K234">
        <f>J234</f>
        <v>3.4867378039366334E-2</v>
      </c>
    </row>
    <row r="235" spans="1:11" x14ac:dyDescent="0.25">
      <c r="A235" t="s">
        <v>47</v>
      </c>
      <c r="B235" t="s">
        <v>58</v>
      </c>
      <c r="C235" t="s">
        <v>506</v>
      </c>
      <c r="D235">
        <v>1.0999999999999999E-2</v>
      </c>
      <c r="E235">
        <f t="shared" si="24"/>
        <v>3.6575000000000003E-2</v>
      </c>
      <c r="F235">
        <f t="shared" si="25"/>
        <v>3.584896798535938E-2</v>
      </c>
      <c r="G235">
        <f t="shared" si="26"/>
        <v>3.5805968578348266E-2</v>
      </c>
      <c r="H235">
        <f>G235</f>
        <v>3.5805968578348266E-2</v>
      </c>
      <c r="I235">
        <f t="shared" si="27"/>
        <v>3.4919726210355183E-2</v>
      </c>
      <c r="J235">
        <f t="shared" si="28"/>
        <v>3.4867378039366334E-2</v>
      </c>
      <c r="K235">
        <f>J235</f>
        <v>3.4867378039366334E-2</v>
      </c>
    </row>
    <row r="236" spans="1:11" x14ac:dyDescent="0.25">
      <c r="A236" t="s">
        <v>40</v>
      </c>
      <c r="B236" t="s">
        <v>58</v>
      </c>
      <c r="C236" t="s">
        <v>505</v>
      </c>
      <c r="D236">
        <v>1.0999999999999999E-2</v>
      </c>
      <c r="E236">
        <f t="shared" si="24"/>
        <v>3.6575000000000003E-2</v>
      </c>
      <c r="F236">
        <f t="shared" si="25"/>
        <v>3.584896798535938E-2</v>
      </c>
      <c r="G236">
        <f t="shared" si="26"/>
        <v>3.5805968578348266E-2</v>
      </c>
      <c r="I236">
        <f t="shared" si="27"/>
        <v>0</v>
      </c>
      <c r="J236">
        <f t="shared" si="28"/>
        <v>0</v>
      </c>
    </row>
    <row r="237" spans="1:11" x14ac:dyDescent="0.25">
      <c r="A237" t="s">
        <v>45</v>
      </c>
      <c r="B237" t="s">
        <v>58</v>
      </c>
      <c r="C237" t="s">
        <v>505</v>
      </c>
      <c r="D237">
        <v>0.01</v>
      </c>
      <c r="E237">
        <f t="shared" si="24"/>
        <v>3.3250000000000002E-2</v>
      </c>
      <c r="F237">
        <f t="shared" si="25"/>
        <v>3.2589970895781251E-2</v>
      </c>
      <c r="G237">
        <f t="shared" si="26"/>
        <v>3.2550880525771146E-2</v>
      </c>
      <c r="I237">
        <f t="shared" si="27"/>
        <v>0</v>
      </c>
      <c r="J237">
        <f t="shared" si="28"/>
        <v>0</v>
      </c>
    </row>
    <row r="238" spans="1:11" x14ac:dyDescent="0.25">
      <c r="A238" t="s">
        <v>34</v>
      </c>
      <c r="B238" t="s">
        <v>57</v>
      </c>
      <c r="C238" t="s">
        <v>504</v>
      </c>
      <c r="D238">
        <v>8.9999999999999993E-3</v>
      </c>
      <c r="E238">
        <f t="shared" si="24"/>
        <v>8.9999999999999993E-3</v>
      </c>
      <c r="F238">
        <f t="shared" si="25"/>
        <v>8.8213455056249997E-3</v>
      </c>
      <c r="G238">
        <f t="shared" si="26"/>
        <v>8.8107646535921895E-3</v>
      </c>
      <c r="I238">
        <f t="shared" si="27"/>
        <v>0</v>
      </c>
      <c r="J238">
        <f t="shared" si="28"/>
        <v>0</v>
      </c>
    </row>
    <row r="239" spans="1:11" x14ac:dyDescent="0.25">
      <c r="A239" t="s">
        <v>34</v>
      </c>
      <c r="B239" t="s">
        <v>57</v>
      </c>
      <c r="C239" t="s">
        <v>505</v>
      </c>
      <c r="D239">
        <v>8.0000000000000002E-3</v>
      </c>
      <c r="E239">
        <f t="shared" si="24"/>
        <v>8.0000000000000002E-3</v>
      </c>
      <c r="F239">
        <f t="shared" si="25"/>
        <v>7.8411960050000003E-3</v>
      </c>
      <c r="G239">
        <f t="shared" si="26"/>
        <v>7.8317908031930589E-3</v>
      </c>
      <c r="I239">
        <f t="shared" si="27"/>
        <v>0</v>
      </c>
      <c r="J239">
        <f t="shared" si="28"/>
        <v>0</v>
      </c>
    </row>
    <row r="240" spans="1:11" x14ac:dyDescent="0.25">
      <c r="A240" t="s">
        <v>4</v>
      </c>
      <c r="B240" t="s">
        <v>58</v>
      </c>
      <c r="C240" t="s">
        <v>506</v>
      </c>
      <c r="D240">
        <v>7.0000000000000001E-3</v>
      </c>
      <c r="E240">
        <f t="shared" si="24"/>
        <v>2.3275000000000001E-2</v>
      </c>
      <c r="F240">
        <f t="shared" si="25"/>
        <v>2.2812979627046877E-2</v>
      </c>
      <c r="G240">
        <f t="shared" si="26"/>
        <v>2.2785616368039805E-2</v>
      </c>
      <c r="H240">
        <f>G240</f>
        <v>2.2785616368039805E-2</v>
      </c>
      <c r="I240">
        <f t="shared" si="27"/>
        <v>2.2221643952044207E-2</v>
      </c>
      <c r="J240">
        <f t="shared" si="28"/>
        <v>2.2188331479596757E-2</v>
      </c>
      <c r="K240">
        <f>J240</f>
        <v>2.2188331479596757E-2</v>
      </c>
    </row>
    <row r="241" spans="1:11" x14ac:dyDescent="0.25">
      <c r="A241" t="s">
        <v>54</v>
      </c>
      <c r="B241" t="s">
        <v>57</v>
      </c>
      <c r="C241" t="s">
        <v>506</v>
      </c>
      <c r="D241">
        <v>5.0000000000000001E-3</v>
      </c>
      <c r="E241">
        <f t="shared" si="24"/>
        <v>5.0000000000000001E-3</v>
      </c>
      <c r="F241">
        <f t="shared" si="25"/>
        <v>4.9007475031250004E-3</v>
      </c>
      <c r="G241">
        <f t="shared" si="26"/>
        <v>4.8948692519956618E-3</v>
      </c>
      <c r="H241">
        <f>G241</f>
        <v>4.8948692519956618E-3</v>
      </c>
      <c r="I241">
        <f t="shared" si="27"/>
        <v>4.7737151347033747E-3</v>
      </c>
      <c r="J241">
        <f t="shared" si="28"/>
        <v>4.7665588570562321E-3</v>
      </c>
      <c r="K241">
        <f>J241</f>
        <v>4.7665588570562321E-3</v>
      </c>
    </row>
    <row r="242" spans="1:11" x14ac:dyDescent="0.25">
      <c r="A242" t="s">
        <v>54</v>
      </c>
      <c r="B242" t="s">
        <v>58</v>
      </c>
      <c r="C242" t="s">
        <v>505</v>
      </c>
      <c r="D242">
        <v>5.0000000000000001E-3</v>
      </c>
      <c r="E242">
        <f t="shared" si="24"/>
        <v>1.6625000000000001E-2</v>
      </c>
      <c r="F242">
        <f t="shared" si="25"/>
        <v>1.6294985447890625E-2</v>
      </c>
      <c r="G242">
        <f t="shared" si="26"/>
        <v>1.6275440262885573E-2</v>
      </c>
      <c r="I242">
        <f t="shared" si="27"/>
        <v>0</v>
      </c>
      <c r="J242">
        <f t="shared" si="28"/>
        <v>0</v>
      </c>
    </row>
    <row r="243" spans="1:11" x14ac:dyDescent="0.25">
      <c r="A243" t="s">
        <v>46</v>
      </c>
      <c r="B243" t="s">
        <v>58</v>
      </c>
      <c r="C243" t="s">
        <v>503</v>
      </c>
      <c r="D243">
        <v>4.0000000000000001E-3</v>
      </c>
      <c r="E243">
        <f t="shared" si="24"/>
        <v>1.3299999999999999E-2</v>
      </c>
      <c r="F243">
        <f t="shared" si="25"/>
        <v>1.30359883583125E-2</v>
      </c>
      <c r="G243">
        <f t="shared" si="26"/>
        <v>1.3020352210308459E-2</v>
      </c>
      <c r="I243">
        <f t="shared" si="27"/>
        <v>0</v>
      </c>
      <c r="J243">
        <f t="shared" si="28"/>
        <v>0</v>
      </c>
    </row>
    <row r="244" spans="1:11" x14ac:dyDescent="0.25">
      <c r="A244" t="s">
        <v>34</v>
      </c>
      <c r="B244" t="s">
        <v>58</v>
      </c>
      <c r="C244" t="s">
        <v>507</v>
      </c>
      <c r="D244">
        <v>4.0000000000000001E-3</v>
      </c>
      <c r="E244">
        <f t="shared" si="24"/>
        <v>1.3299999999999999E-2</v>
      </c>
      <c r="F244">
        <f t="shared" si="25"/>
        <v>1.30359883583125E-2</v>
      </c>
      <c r="G244">
        <f t="shared" si="26"/>
        <v>1.3020352210308459E-2</v>
      </c>
      <c r="H244">
        <f>G244</f>
        <v>1.3020352210308459E-2</v>
      </c>
      <c r="I244">
        <f t="shared" si="27"/>
        <v>1.2698082258310974E-2</v>
      </c>
      <c r="J244">
        <f t="shared" si="28"/>
        <v>1.2679046559769574E-2</v>
      </c>
      <c r="K244">
        <f>J244</f>
        <v>1.2679046559769574E-2</v>
      </c>
    </row>
    <row r="245" spans="1:11" x14ac:dyDescent="0.25">
      <c r="A245" t="s">
        <v>34</v>
      </c>
      <c r="B245" t="s">
        <v>57</v>
      </c>
      <c r="C245" t="s">
        <v>502</v>
      </c>
      <c r="D245">
        <v>4.0000000000000001E-3</v>
      </c>
      <c r="E245">
        <f t="shared" si="24"/>
        <v>4.0000000000000001E-3</v>
      </c>
      <c r="F245">
        <f t="shared" si="25"/>
        <v>3.9205980025000002E-3</v>
      </c>
      <c r="G245">
        <f t="shared" si="26"/>
        <v>3.9158954015965294E-3</v>
      </c>
      <c r="H245">
        <f>G245*1.002^4</f>
        <v>3.9473166716702465E-3</v>
      </c>
      <c r="I245">
        <f t="shared" si="27"/>
        <v>3.8496156622235978E-3</v>
      </c>
      <c r="J245">
        <f t="shared" si="28"/>
        <v>3.8438447023451186E-3</v>
      </c>
    </row>
    <row r="246" spans="1:11" x14ac:dyDescent="0.25">
      <c r="A246" t="s">
        <v>54</v>
      </c>
      <c r="B246" t="s">
        <v>57</v>
      </c>
      <c r="C246" t="s">
        <v>503</v>
      </c>
      <c r="D246">
        <v>3.0000000000000001E-3</v>
      </c>
      <c r="E246">
        <f t="shared" si="24"/>
        <v>3.0000000000000001E-3</v>
      </c>
      <c r="F246">
        <f t="shared" si="25"/>
        <v>2.9404485018750003E-3</v>
      </c>
      <c r="G246">
        <f t="shared" si="26"/>
        <v>2.9369215511973971E-3</v>
      </c>
      <c r="I246">
        <f t="shared" si="27"/>
        <v>0</v>
      </c>
      <c r="J246">
        <f t="shared" si="28"/>
        <v>0</v>
      </c>
    </row>
    <row r="247" spans="1:11" x14ac:dyDescent="0.25">
      <c r="A247" t="s">
        <v>34</v>
      </c>
      <c r="B247" t="s">
        <v>58</v>
      </c>
      <c r="C247" t="s">
        <v>506</v>
      </c>
      <c r="D247">
        <v>2E-3</v>
      </c>
      <c r="E247">
        <f t="shared" si="24"/>
        <v>6.6499999999999997E-3</v>
      </c>
      <c r="F247">
        <f t="shared" si="25"/>
        <v>6.5179941791562498E-3</v>
      </c>
      <c r="G247">
        <f t="shared" si="26"/>
        <v>6.5101761051542294E-3</v>
      </c>
      <c r="H247">
        <f>G247</f>
        <v>6.5101761051542294E-3</v>
      </c>
      <c r="I247">
        <f t="shared" si="27"/>
        <v>6.3490411291554872E-3</v>
      </c>
      <c r="J247">
        <f t="shared" si="28"/>
        <v>6.3395232798847869E-3</v>
      </c>
      <c r="K247">
        <f>J247</f>
        <v>6.3395232798847869E-3</v>
      </c>
    </row>
    <row r="248" spans="1:11" x14ac:dyDescent="0.25">
      <c r="A248" t="s">
        <v>34</v>
      </c>
      <c r="B248" t="s">
        <v>57</v>
      </c>
      <c r="C248" t="s">
        <v>503</v>
      </c>
      <c r="D248">
        <v>2E-3</v>
      </c>
      <c r="E248">
        <f t="shared" si="24"/>
        <v>2E-3</v>
      </c>
      <c r="F248">
        <f t="shared" si="25"/>
        <v>1.9602990012500001E-3</v>
      </c>
      <c r="G248">
        <f t="shared" si="26"/>
        <v>1.9579477007982647E-3</v>
      </c>
      <c r="I248">
        <f t="shared" si="27"/>
        <v>0</v>
      </c>
      <c r="J248">
        <f t="shared" si="28"/>
        <v>0</v>
      </c>
    </row>
    <row r="249" spans="1:11" x14ac:dyDescent="0.25">
      <c r="A249" t="s">
        <v>53</v>
      </c>
      <c r="B249" t="s">
        <v>58</v>
      </c>
      <c r="C249" t="s">
        <v>503</v>
      </c>
      <c r="D249">
        <v>2E-3</v>
      </c>
      <c r="E249">
        <f t="shared" si="24"/>
        <v>6.6499999999999997E-3</v>
      </c>
      <c r="F249">
        <f t="shared" si="25"/>
        <v>6.5179941791562498E-3</v>
      </c>
      <c r="G249">
        <f t="shared" si="26"/>
        <v>6.5101761051542294E-3</v>
      </c>
      <c r="I249">
        <f t="shared" si="27"/>
        <v>0</v>
      </c>
      <c r="J249">
        <f t="shared" si="28"/>
        <v>0</v>
      </c>
    </row>
    <row r="250" spans="1:11" x14ac:dyDescent="0.25">
      <c r="A250" t="s">
        <v>47</v>
      </c>
      <c r="B250" t="s">
        <v>58</v>
      </c>
      <c r="C250" t="s">
        <v>503</v>
      </c>
      <c r="D250">
        <v>2E-3</v>
      </c>
      <c r="E250">
        <f t="shared" si="24"/>
        <v>6.6499999999999997E-3</v>
      </c>
      <c r="F250">
        <f t="shared" si="25"/>
        <v>6.5179941791562498E-3</v>
      </c>
      <c r="G250">
        <f t="shared" si="26"/>
        <v>6.5101761051542294E-3</v>
      </c>
      <c r="I250">
        <f t="shared" si="27"/>
        <v>0</v>
      </c>
      <c r="J250">
        <f t="shared" si="28"/>
        <v>0</v>
      </c>
    </row>
    <row r="251" spans="1:11" x14ac:dyDescent="0.25">
      <c r="A251" t="s">
        <v>4</v>
      </c>
      <c r="B251" t="s">
        <v>58</v>
      </c>
      <c r="C251" t="s">
        <v>505</v>
      </c>
      <c r="D251">
        <v>1E-3</v>
      </c>
      <c r="E251">
        <f t="shared" si="24"/>
        <v>3.3249999999999998E-3</v>
      </c>
      <c r="F251">
        <f t="shared" si="25"/>
        <v>3.2589970895781249E-3</v>
      </c>
      <c r="G251">
        <f t="shared" si="26"/>
        <v>3.2550880525771147E-3</v>
      </c>
      <c r="I251">
        <f t="shared" si="27"/>
        <v>0</v>
      </c>
      <c r="J251">
        <f t="shared" si="28"/>
        <v>0</v>
      </c>
    </row>
    <row r="252" spans="1:11" x14ac:dyDescent="0.25">
      <c r="A252" t="s">
        <v>54</v>
      </c>
      <c r="B252" t="s">
        <v>57</v>
      </c>
      <c r="C252" t="s">
        <v>505</v>
      </c>
      <c r="D252">
        <v>1E-3</v>
      </c>
      <c r="E252">
        <f t="shared" si="24"/>
        <v>1E-3</v>
      </c>
      <c r="F252">
        <f t="shared" si="25"/>
        <v>9.8014950062500004E-4</v>
      </c>
      <c r="G252">
        <f t="shared" si="26"/>
        <v>9.7897385039913236E-4</v>
      </c>
      <c r="I252">
        <f t="shared" si="27"/>
        <v>0</v>
      </c>
      <c r="J252">
        <f t="shared" si="28"/>
        <v>0</v>
      </c>
    </row>
    <row r="253" spans="1:11" x14ac:dyDescent="0.25">
      <c r="A253" t="s">
        <v>53</v>
      </c>
      <c r="B253" t="s">
        <v>58</v>
      </c>
      <c r="C253" t="s">
        <v>505</v>
      </c>
      <c r="D253">
        <v>1E-3</v>
      </c>
      <c r="E253">
        <f t="shared" si="24"/>
        <v>3.3249999999999998E-3</v>
      </c>
      <c r="F253">
        <f t="shared" si="25"/>
        <v>3.2589970895781249E-3</v>
      </c>
      <c r="G253">
        <f t="shared" si="26"/>
        <v>3.2550880525771147E-3</v>
      </c>
      <c r="I253">
        <f t="shared" si="27"/>
        <v>0</v>
      </c>
      <c r="J253">
        <f t="shared" si="28"/>
        <v>0</v>
      </c>
    </row>
    <row r="254" spans="1:11" x14ac:dyDescent="0.25">
      <c r="A254" t="s">
        <v>46</v>
      </c>
      <c r="B254" t="s">
        <v>58</v>
      </c>
      <c r="C254" t="s">
        <v>505</v>
      </c>
      <c r="D254">
        <v>1E-3</v>
      </c>
      <c r="E254">
        <f t="shared" si="24"/>
        <v>3.3249999999999998E-3</v>
      </c>
      <c r="F254">
        <f t="shared" si="25"/>
        <v>3.2589970895781249E-3</v>
      </c>
      <c r="G254">
        <f t="shared" si="26"/>
        <v>3.2550880525771147E-3</v>
      </c>
      <c r="I254">
        <f t="shared" si="27"/>
        <v>0</v>
      </c>
      <c r="J254">
        <f t="shared" si="28"/>
        <v>0</v>
      </c>
    </row>
    <row r="255" spans="1:11" x14ac:dyDescent="0.25">
      <c r="A255" t="s">
        <v>47</v>
      </c>
      <c r="B255" t="s">
        <v>58</v>
      </c>
      <c r="C255" t="s">
        <v>505</v>
      </c>
      <c r="D255">
        <v>1E-3</v>
      </c>
      <c r="E255">
        <f t="shared" si="24"/>
        <v>3.3249999999999998E-3</v>
      </c>
      <c r="F255">
        <f t="shared" si="25"/>
        <v>3.2589970895781249E-3</v>
      </c>
      <c r="G255">
        <f t="shared" si="26"/>
        <v>3.2550880525771147E-3</v>
      </c>
      <c r="I255">
        <f t="shared" si="27"/>
        <v>0</v>
      </c>
      <c r="J255">
        <f t="shared" si="28"/>
        <v>0</v>
      </c>
    </row>
    <row r="256" spans="1:11" x14ac:dyDescent="0.25">
      <c r="A256" t="s">
        <v>4</v>
      </c>
      <c r="B256" t="s">
        <v>58</v>
      </c>
      <c r="C256" t="s">
        <v>503</v>
      </c>
      <c r="D256">
        <v>1E-3</v>
      </c>
      <c r="E256">
        <f t="shared" si="24"/>
        <v>3.3249999999999998E-3</v>
      </c>
      <c r="F256">
        <f t="shared" si="25"/>
        <v>3.2589970895781249E-3</v>
      </c>
      <c r="G256">
        <f t="shared" si="26"/>
        <v>3.2550880525771147E-3</v>
      </c>
      <c r="I256">
        <f t="shared" si="27"/>
        <v>0</v>
      </c>
      <c r="J256">
        <f t="shared" si="28"/>
        <v>0</v>
      </c>
    </row>
    <row r="257" spans="1:11" x14ac:dyDescent="0.25">
      <c r="A257" t="s">
        <v>54</v>
      </c>
      <c r="B257" t="s">
        <v>58</v>
      </c>
      <c r="C257" t="s">
        <v>506</v>
      </c>
      <c r="D257">
        <v>0</v>
      </c>
      <c r="E257">
        <f t="shared" si="24"/>
        <v>0</v>
      </c>
      <c r="F257">
        <f t="shared" si="25"/>
        <v>0</v>
      </c>
      <c r="G257">
        <f t="shared" si="26"/>
        <v>0</v>
      </c>
      <c r="H257">
        <f>G257</f>
        <v>0</v>
      </c>
      <c r="I257">
        <f t="shared" si="27"/>
        <v>0</v>
      </c>
      <c r="J257">
        <f t="shared" si="28"/>
        <v>0</v>
      </c>
      <c r="K257">
        <f>J257</f>
        <v>0</v>
      </c>
    </row>
    <row r="258" spans="1:11" x14ac:dyDescent="0.25">
      <c r="A258" t="s">
        <v>40</v>
      </c>
      <c r="B258" t="s">
        <v>57</v>
      </c>
      <c r="C258" t="s">
        <v>506</v>
      </c>
      <c r="D258">
        <v>0</v>
      </c>
      <c r="E258">
        <f t="shared" si="24"/>
        <v>0</v>
      </c>
      <c r="F258">
        <f t="shared" si="25"/>
        <v>0</v>
      </c>
      <c r="G258">
        <f t="shared" si="26"/>
        <v>0</v>
      </c>
      <c r="H258">
        <f>G258</f>
        <v>0</v>
      </c>
      <c r="I258">
        <f t="shared" si="27"/>
        <v>0</v>
      </c>
      <c r="J258">
        <f t="shared" si="28"/>
        <v>0</v>
      </c>
      <c r="K258">
        <f>J258</f>
        <v>0</v>
      </c>
    </row>
    <row r="259" spans="1:11" x14ac:dyDescent="0.25">
      <c r="A259" t="s">
        <v>43</v>
      </c>
      <c r="B259" t="s">
        <v>58</v>
      </c>
      <c r="C259" t="s">
        <v>506</v>
      </c>
      <c r="D259">
        <v>0</v>
      </c>
      <c r="E259">
        <f t="shared" ref="E259:E322" si="35">IF(B259="FUNGICIDES",D259*1,IF(B259="HERBICIDES",D259*1.2*1.33,IF(B259="GLYFOSAT",D259*1.33,IF(B259="INSECTICID",D259*1.33*2.5,"-"))))</f>
        <v>0</v>
      </c>
      <c r="F259">
        <f t="shared" ref="F259:F322" si="36">E259*0.995^4</f>
        <v>0</v>
      </c>
      <c r="G259">
        <f t="shared" ref="G259:G322" si="37">F259*0.9997^4</f>
        <v>0</v>
      </c>
      <c r="H259">
        <f>G259</f>
        <v>0</v>
      </c>
      <c r="I259">
        <f t="shared" ref="I259:I322" si="38">H259*0.995^5</f>
        <v>0</v>
      </c>
      <c r="J259">
        <f t="shared" ref="J259:J322" si="39">I259*0.9997^5</f>
        <v>0</v>
      </c>
      <c r="K259">
        <f>J259</f>
        <v>0</v>
      </c>
    </row>
    <row r="260" spans="1:11" x14ac:dyDescent="0.25">
      <c r="A260" t="s">
        <v>34</v>
      </c>
      <c r="B260" t="s">
        <v>58</v>
      </c>
      <c r="C260" t="s">
        <v>505</v>
      </c>
      <c r="D260">
        <v>0</v>
      </c>
      <c r="E260">
        <f t="shared" si="35"/>
        <v>0</v>
      </c>
      <c r="F260">
        <f t="shared" si="36"/>
        <v>0</v>
      </c>
      <c r="G260">
        <f t="shared" si="37"/>
        <v>0</v>
      </c>
      <c r="I260">
        <f t="shared" si="38"/>
        <v>0</v>
      </c>
      <c r="J260">
        <f t="shared" si="39"/>
        <v>0</v>
      </c>
    </row>
    <row r="261" spans="1:11" x14ac:dyDescent="0.25">
      <c r="A261" t="s">
        <v>37</v>
      </c>
      <c r="B261" t="s">
        <v>58</v>
      </c>
      <c r="C261" t="s">
        <v>505</v>
      </c>
      <c r="D261">
        <v>0</v>
      </c>
      <c r="E261">
        <f t="shared" si="35"/>
        <v>0</v>
      </c>
      <c r="F261">
        <f t="shared" si="36"/>
        <v>0</v>
      </c>
      <c r="G261">
        <f t="shared" si="37"/>
        <v>0</v>
      </c>
      <c r="I261">
        <f t="shared" si="38"/>
        <v>0</v>
      </c>
      <c r="J261">
        <f t="shared" si="39"/>
        <v>0</v>
      </c>
    </row>
    <row r="262" spans="1:11" x14ac:dyDescent="0.25">
      <c r="A262" t="s">
        <v>40</v>
      </c>
      <c r="B262" t="s">
        <v>57</v>
      </c>
      <c r="C262" t="s">
        <v>505</v>
      </c>
      <c r="D262">
        <v>0</v>
      </c>
      <c r="E262">
        <f t="shared" si="35"/>
        <v>0</v>
      </c>
      <c r="F262">
        <f t="shared" si="36"/>
        <v>0</v>
      </c>
      <c r="G262">
        <f t="shared" si="37"/>
        <v>0</v>
      </c>
      <c r="I262">
        <f t="shared" si="38"/>
        <v>0</v>
      </c>
      <c r="J262">
        <f t="shared" si="39"/>
        <v>0</v>
      </c>
    </row>
    <row r="263" spans="1:11" x14ac:dyDescent="0.25">
      <c r="A263" t="s">
        <v>54</v>
      </c>
      <c r="B263" t="s">
        <v>58</v>
      </c>
      <c r="C263" t="s">
        <v>503</v>
      </c>
      <c r="D263">
        <v>0</v>
      </c>
      <c r="E263">
        <f t="shared" si="35"/>
        <v>0</v>
      </c>
      <c r="F263">
        <f t="shared" si="36"/>
        <v>0</v>
      </c>
      <c r="G263">
        <f t="shared" si="37"/>
        <v>0</v>
      </c>
      <c r="I263">
        <f t="shared" si="38"/>
        <v>0</v>
      </c>
      <c r="J263">
        <f t="shared" si="39"/>
        <v>0</v>
      </c>
    </row>
    <row r="264" spans="1:11" x14ac:dyDescent="0.25">
      <c r="A264" t="s">
        <v>34</v>
      </c>
      <c r="B264" t="s">
        <v>58</v>
      </c>
      <c r="C264" t="s">
        <v>503</v>
      </c>
      <c r="D264">
        <v>0</v>
      </c>
      <c r="E264">
        <f t="shared" si="35"/>
        <v>0</v>
      </c>
      <c r="F264">
        <f t="shared" si="36"/>
        <v>0</v>
      </c>
      <c r="G264">
        <f t="shared" si="37"/>
        <v>0</v>
      </c>
      <c r="I264">
        <f t="shared" si="38"/>
        <v>0</v>
      </c>
      <c r="J264">
        <f t="shared" si="39"/>
        <v>0</v>
      </c>
    </row>
    <row r="265" spans="1:11" x14ac:dyDescent="0.25">
      <c r="A265" t="s">
        <v>37</v>
      </c>
      <c r="B265" t="s">
        <v>58</v>
      </c>
      <c r="C265" t="s">
        <v>503</v>
      </c>
      <c r="D265">
        <v>0</v>
      </c>
      <c r="E265">
        <f t="shared" si="35"/>
        <v>0</v>
      </c>
      <c r="F265">
        <f t="shared" si="36"/>
        <v>0</v>
      </c>
      <c r="G265">
        <f t="shared" si="37"/>
        <v>0</v>
      </c>
      <c r="I265">
        <f t="shared" si="38"/>
        <v>0</v>
      </c>
      <c r="J265">
        <f t="shared" si="39"/>
        <v>0</v>
      </c>
    </row>
    <row r="266" spans="1:11" x14ac:dyDescent="0.25">
      <c r="A266" t="s">
        <v>40</v>
      </c>
      <c r="B266" t="s">
        <v>57</v>
      </c>
      <c r="C266" t="s">
        <v>503</v>
      </c>
      <c r="D266">
        <v>0</v>
      </c>
      <c r="E266">
        <f t="shared" si="35"/>
        <v>0</v>
      </c>
      <c r="F266">
        <f t="shared" si="36"/>
        <v>0</v>
      </c>
      <c r="G266">
        <f t="shared" si="37"/>
        <v>0</v>
      </c>
      <c r="I266">
        <f t="shared" si="38"/>
        <v>0</v>
      </c>
      <c r="J266">
        <f t="shared" si="39"/>
        <v>0</v>
      </c>
    </row>
    <row r="267" spans="1:11" x14ac:dyDescent="0.25">
      <c r="A267" t="s">
        <v>43</v>
      </c>
      <c r="B267" t="s">
        <v>58</v>
      </c>
      <c r="C267" t="s">
        <v>503</v>
      </c>
      <c r="D267">
        <v>0</v>
      </c>
      <c r="E267">
        <f t="shared" si="35"/>
        <v>0</v>
      </c>
      <c r="F267">
        <f t="shared" si="36"/>
        <v>0</v>
      </c>
      <c r="G267">
        <f t="shared" si="37"/>
        <v>0</v>
      </c>
      <c r="I267">
        <f t="shared" si="38"/>
        <v>0</v>
      </c>
      <c r="J267">
        <f t="shared" si="39"/>
        <v>0</v>
      </c>
    </row>
    <row r="268" spans="1:11" x14ac:dyDescent="0.25">
      <c r="A268" t="s">
        <v>37</v>
      </c>
      <c r="B268" t="s">
        <v>58</v>
      </c>
      <c r="C268" t="s">
        <v>507</v>
      </c>
      <c r="D268">
        <v>0</v>
      </c>
      <c r="E268">
        <f t="shared" si="35"/>
        <v>0</v>
      </c>
      <c r="F268">
        <f t="shared" si="36"/>
        <v>0</v>
      </c>
      <c r="G268">
        <f t="shared" si="37"/>
        <v>0</v>
      </c>
      <c r="H268">
        <f>G268</f>
        <v>0</v>
      </c>
      <c r="I268">
        <f t="shared" si="38"/>
        <v>0</v>
      </c>
      <c r="J268">
        <f t="shared" si="39"/>
        <v>0</v>
      </c>
      <c r="K268">
        <f>J268</f>
        <v>0</v>
      </c>
    </row>
    <row r="269" spans="1:11" x14ac:dyDescent="0.25">
      <c r="A269" t="s">
        <v>40</v>
      </c>
      <c r="B269" t="s">
        <v>57</v>
      </c>
      <c r="C269" t="s">
        <v>507</v>
      </c>
      <c r="D269">
        <v>0</v>
      </c>
      <c r="E269">
        <f t="shared" si="35"/>
        <v>0</v>
      </c>
      <c r="F269">
        <f t="shared" si="36"/>
        <v>0</v>
      </c>
      <c r="G269">
        <f t="shared" si="37"/>
        <v>0</v>
      </c>
      <c r="H269">
        <f>G269</f>
        <v>0</v>
      </c>
      <c r="I269">
        <f t="shared" si="38"/>
        <v>0</v>
      </c>
      <c r="J269">
        <f t="shared" si="39"/>
        <v>0</v>
      </c>
      <c r="K269">
        <f>J269</f>
        <v>0</v>
      </c>
    </row>
    <row r="270" spans="1:11" x14ac:dyDescent="0.25">
      <c r="A270" t="s">
        <v>43</v>
      </c>
      <c r="B270" t="s">
        <v>58</v>
      </c>
      <c r="C270" t="s">
        <v>507</v>
      </c>
      <c r="D270">
        <v>0</v>
      </c>
      <c r="E270">
        <f t="shared" si="35"/>
        <v>0</v>
      </c>
      <c r="F270">
        <f t="shared" si="36"/>
        <v>0</v>
      </c>
      <c r="G270">
        <f t="shared" si="37"/>
        <v>0</v>
      </c>
      <c r="H270">
        <f>G270</f>
        <v>0</v>
      </c>
      <c r="I270">
        <f t="shared" si="38"/>
        <v>0</v>
      </c>
      <c r="J270">
        <f t="shared" si="39"/>
        <v>0</v>
      </c>
      <c r="K270">
        <f>J270</f>
        <v>0</v>
      </c>
    </row>
    <row r="271" spans="1:11" x14ac:dyDescent="0.25">
      <c r="A271" t="s">
        <v>4</v>
      </c>
      <c r="B271" t="s">
        <v>57</v>
      </c>
      <c r="C271" t="s">
        <v>501</v>
      </c>
      <c r="D271">
        <v>0</v>
      </c>
      <c r="E271">
        <f t="shared" si="35"/>
        <v>0</v>
      </c>
      <c r="F271">
        <f t="shared" si="36"/>
        <v>0</v>
      </c>
      <c r="G271">
        <f t="shared" si="37"/>
        <v>0</v>
      </c>
      <c r="H271">
        <f t="shared" ref="H271:H292" si="40">G271*1.002^4</f>
        <v>0</v>
      </c>
      <c r="I271">
        <f t="shared" si="38"/>
        <v>0</v>
      </c>
      <c r="J271">
        <f t="shared" si="39"/>
        <v>0</v>
      </c>
      <c r="K271">
        <f t="shared" ref="K271:K291" si="41">J271*1.002^5</f>
        <v>0</v>
      </c>
    </row>
    <row r="272" spans="1:11" x14ac:dyDescent="0.25">
      <c r="A272" t="s">
        <v>4</v>
      </c>
      <c r="B272" t="s">
        <v>58</v>
      </c>
      <c r="C272" t="s">
        <v>501</v>
      </c>
      <c r="D272">
        <v>0</v>
      </c>
      <c r="E272">
        <f t="shared" si="35"/>
        <v>0</v>
      </c>
      <c r="F272">
        <f t="shared" si="36"/>
        <v>0</v>
      </c>
      <c r="G272">
        <f t="shared" si="37"/>
        <v>0</v>
      </c>
      <c r="H272">
        <f t="shared" si="40"/>
        <v>0</v>
      </c>
      <c r="I272">
        <f t="shared" si="38"/>
        <v>0</v>
      </c>
      <c r="J272">
        <f t="shared" si="39"/>
        <v>0</v>
      </c>
      <c r="K272">
        <f t="shared" si="41"/>
        <v>0</v>
      </c>
    </row>
    <row r="273" spans="1:11" x14ac:dyDescent="0.25">
      <c r="A273" t="s">
        <v>54</v>
      </c>
      <c r="B273" t="s">
        <v>57</v>
      </c>
      <c r="C273" t="s">
        <v>501</v>
      </c>
      <c r="D273">
        <v>0</v>
      </c>
      <c r="E273">
        <f t="shared" si="35"/>
        <v>0</v>
      </c>
      <c r="F273">
        <f t="shared" si="36"/>
        <v>0</v>
      </c>
      <c r="G273">
        <f t="shared" si="37"/>
        <v>0</v>
      </c>
      <c r="H273">
        <f t="shared" si="40"/>
        <v>0</v>
      </c>
      <c r="I273">
        <f t="shared" si="38"/>
        <v>0</v>
      </c>
      <c r="J273">
        <f t="shared" si="39"/>
        <v>0</v>
      </c>
      <c r="K273">
        <f t="shared" si="41"/>
        <v>0</v>
      </c>
    </row>
    <row r="274" spans="1:11" x14ac:dyDescent="0.25">
      <c r="A274" t="s">
        <v>54</v>
      </c>
      <c r="B274" t="s">
        <v>58</v>
      </c>
      <c r="C274" t="s">
        <v>501</v>
      </c>
      <c r="D274">
        <v>0</v>
      </c>
      <c r="E274">
        <f t="shared" si="35"/>
        <v>0</v>
      </c>
      <c r="F274">
        <f t="shared" si="36"/>
        <v>0</v>
      </c>
      <c r="G274">
        <f t="shared" si="37"/>
        <v>0</v>
      </c>
      <c r="H274">
        <f t="shared" si="40"/>
        <v>0</v>
      </c>
      <c r="I274">
        <f t="shared" si="38"/>
        <v>0</v>
      </c>
      <c r="J274">
        <f t="shared" si="39"/>
        <v>0</v>
      </c>
      <c r="K274">
        <f t="shared" si="41"/>
        <v>0</v>
      </c>
    </row>
    <row r="275" spans="1:11" x14ac:dyDescent="0.25">
      <c r="A275" t="s">
        <v>34</v>
      </c>
      <c r="B275" t="s">
        <v>57</v>
      </c>
      <c r="C275" t="s">
        <v>501</v>
      </c>
      <c r="D275">
        <v>0</v>
      </c>
      <c r="E275">
        <f t="shared" si="35"/>
        <v>0</v>
      </c>
      <c r="F275">
        <f t="shared" si="36"/>
        <v>0</v>
      </c>
      <c r="G275">
        <f t="shared" si="37"/>
        <v>0</v>
      </c>
      <c r="H275">
        <f t="shared" si="40"/>
        <v>0</v>
      </c>
      <c r="I275">
        <f t="shared" si="38"/>
        <v>0</v>
      </c>
      <c r="J275">
        <f t="shared" si="39"/>
        <v>0</v>
      </c>
      <c r="K275">
        <f t="shared" si="41"/>
        <v>0</v>
      </c>
    </row>
    <row r="276" spans="1:11" x14ac:dyDescent="0.25">
      <c r="A276" t="s">
        <v>34</v>
      </c>
      <c r="B276" t="s">
        <v>58</v>
      </c>
      <c r="C276" t="s">
        <v>501</v>
      </c>
      <c r="D276">
        <v>0</v>
      </c>
      <c r="E276">
        <f t="shared" si="35"/>
        <v>0</v>
      </c>
      <c r="F276">
        <f t="shared" si="36"/>
        <v>0</v>
      </c>
      <c r="G276">
        <f t="shared" si="37"/>
        <v>0</v>
      </c>
      <c r="H276">
        <f t="shared" si="40"/>
        <v>0</v>
      </c>
      <c r="I276">
        <f t="shared" si="38"/>
        <v>0</v>
      </c>
      <c r="J276">
        <f t="shared" si="39"/>
        <v>0</v>
      </c>
      <c r="K276">
        <f t="shared" si="41"/>
        <v>0</v>
      </c>
    </row>
    <row r="277" spans="1:11" x14ac:dyDescent="0.25">
      <c r="A277" t="s">
        <v>37</v>
      </c>
      <c r="B277" t="s">
        <v>58</v>
      </c>
      <c r="C277" t="s">
        <v>501</v>
      </c>
      <c r="D277">
        <v>0</v>
      </c>
      <c r="E277">
        <f t="shared" si="35"/>
        <v>0</v>
      </c>
      <c r="F277">
        <f t="shared" si="36"/>
        <v>0</v>
      </c>
      <c r="G277">
        <f t="shared" si="37"/>
        <v>0</v>
      </c>
      <c r="H277">
        <f t="shared" si="40"/>
        <v>0</v>
      </c>
      <c r="I277">
        <f t="shared" si="38"/>
        <v>0</v>
      </c>
      <c r="J277">
        <f t="shared" si="39"/>
        <v>0</v>
      </c>
      <c r="K277">
        <f t="shared" si="41"/>
        <v>0</v>
      </c>
    </row>
    <row r="278" spans="1:11" x14ac:dyDescent="0.25">
      <c r="A278" t="s">
        <v>40</v>
      </c>
      <c r="B278" t="s">
        <v>57</v>
      </c>
      <c r="C278" t="s">
        <v>501</v>
      </c>
      <c r="D278">
        <v>0</v>
      </c>
      <c r="E278">
        <f t="shared" si="35"/>
        <v>0</v>
      </c>
      <c r="F278">
        <f t="shared" si="36"/>
        <v>0</v>
      </c>
      <c r="G278">
        <f t="shared" si="37"/>
        <v>0</v>
      </c>
      <c r="H278">
        <f t="shared" si="40"/>
        <v>0</v>
      </c>
      <c r="I278">
        <f t="shared" si="38"/>
        <v>0</v>
      </c>
      <c r="J278">
        <f t="shared" si="39"/>
        <v>0</v>
      </c>
      <c r="K278">
        <f t="shared" si="41"/>
        <v>0</v>
      </c>
    </row>
    <row r="279" spans="1:11" x14ac:dyDescent="0.25">
      <c r="A279" t="s">
        <v>40</v>
      </c>
      <c r="B279" t="s">
        <v>58</v>
      </c>
      <c r="C279" t="s">
        <v>501</v>
      </c>
      <c r="D279">
        <v>0</v>
      </c>
      <c r="E279">
        <f t="shared" si="35"/>
        <v>0</v>
      </c>
      <c r="F279">
        <f t="shared" si="36"/>
        <v>0</v>
      </c>
      <c r="G279">
        <f t="shared" si="37"/>
        <v>0</v>
      </c>
      <c r="H279">
        <f t="shared" si="40"/>
        <v>0</v>
      </c>
      <c r="I279">
        <f t="shared" si="38"/>
        <v>0</v>
      </c>
      <c r="J279">
        <f t="shared" si="39"/>
        <v>0</v>
      </c>
      <c r="K279">
        <f t="shared" si="41"/>
        <v>0</v>
      </c>
    </row>
    <row r="280" spans="1:11" x14ac:dyDescent="0.25">
      <c r="A280" t="s">
        <v>43</v>
      </c>
      <c r="B280" t="s">
        <v>58</v>
      </c>
      <c r="C280" t="s">
        <v>501</v>
      </c>
      <c r="D280">
        <v>0</v>
      </c>
      <c r="E280">
        <f t="shared" si="35"/>
        <v>0</v>
      </c>
      <c r="F280">
        <f t="shared" si="36"/>
        <v>0</v>
      </c>
      <c r="G280">
        <f t="shared" si="37"/>
        <v>0</v>
      </c>
      <c r="H280">
        <f t="shared" si="40"/>
        <v>0</v>
      </c>
      <c r="I280">
        <f t="shared" si="38"/>
        <v>0</v>
      </c>
      <c r="J280">
        <f t="shared" si="39"/>
        <v>0</v>
      </c>
      <c r="K280">
        <f t="shared" si="41"/>
        <v>0</v>
      </c>
    </row>
    <row r="281" spans="1:11" x14ac:dyDescent="0.25">
      <c r="A281" t="s">
        <v>53</v>
      </c>
      <c r="B281" t="s">
        <v>58</v>
      </c>
      <c r="C281" t="s">
        <v>501</v>
      </c>
      <c r="D281">
        <v>0</v>
      </c>
      <c r="E281">
        <f t="shared" si="35"/>
        <v>0</v>
      </c>
      <c r="F281">
        <f t="shared" si="36"/>
        <v>0</v>
      </c>
      <c r="G281">
        <f t="shared" si="37"/>
        <v>0</v>
      </c>
      <c r="H281">
        <f t="shared" si="40"/>
        <v>0</v>
      </c>
      <c r="I281">
        <f t="shared" si="38"/>
        <v>0</v>
      </c>
      <c r="J281">
        <f t="shared" si="39"/>
        <v>0</v>
      </c>
      <c r="K281">
        <f t="shared" si="41"/>
        <v>0</v>
      </c>
    </row>
    <row r="282" spans="1:11" x14ac:dyDescent="0.25">
      <c r="A282" t="s">
        <v>45</v>
      </c>
      <c r="B282" t="s">
        <v>57</v>
      </c>
      <c r="C282" t="s">
        <v>501</v>
      </c>
      <c r="D282">
        <v>0</v>
      </c>
      <c r="E282">
        <f t="shared" si="35"/>
        <v>0</v>
      </c>
      <c r="F282">
        <f t="shared" si="36"/>
        <v>0</v>
      </c>
      <c r="G282">
        <f t="shared" si="37"/>
        <v>0</v>
      </c>
      <c r="H282">
        <f t="shared" si="40"/>
        <v>0</v>
      </c>
      <c r="I282">
        <f t="shared" si="38"/>
        <v>0</v>
      </c>
      <c r="J282">
        <f t="shared" si="39"/>
        <v>0</v>
      </c>
      <c r="K282">
        <f t="shared" si="41"/>
        <v>0</v>
      </c>
    </row>
    <row r="283" spans="1:11" x14ac:dyDescent="0.25">
      <c r="A283" t="s">
        <v>45</v>
      </c>
      <c r="B283" t="s">
        <v>58</v>
      </c>
      <c r="C283" t="s">
        <v>501</v>
      </c>
      <c r="D283">
        <v>0</v>
      </c>
      <c r="E283">
        <f t="shared" si="35"/>
        <v>0</v>
      </c>
      <c r="F283">
        <f t="shared" si="36"/>
        <v>0</v>
      </c>
      <c r="G283">
        <f t="shared" si="37"/>
        <v>0</v>
      </c>
      <c r="H283">
        <f t="shared" si="40"/>
        <v>0</v>
      </c>
      <c r="I283">
        <f t="shared" si="38"/>
        <v>0</v>
      </c>
      <c r="J283">
        <f t="shared" si="39"/>
        <v>0</v>
      </c>
      <c r="K283">
        <f t="shared" si="41"/>
        <v>0</v>
      </c>
    </row>
    <row r="284" spans="1:11" x14ac:dyDescent="0.25">
      <c r="A284" t="s">
        <v>46</v>
      </c>
      <c r="B284" t="s">
        <v>58</v>
      </c>
      <c r="C284" t="s">
        <v>501</v>
      </c>
      <c r="D284">
        <v>0</v>
      </c>
      <c r="E284">
        <f t="shared" si="35"/>
        <v>0</v>
      </c>
      <c r="F284">
        <f t="shared" si="36"/>
        <v>0</v>
      </c>
      <c r="G284">
        <f t="shared" si="37"/>
        <v>0</v>
      </c>
      <c r="H284">
        <f t="shared" si="40"/>
        <v>0</v>
      </c>
      <c r="I284">
        <f t="shared" si="38"/>
        <v>0</v>
      </c>
      <c r="J284">
        <f t="shared" si="39"/>
        <v>0</v>
      </c>
      <c r="K284">
        <f t="shared" si="41"/>
        <v>0</v>
      </c>
    </row>
    <row r="285" spans="1:11" x14ac:dyDescent="0.25">
      <c r="A285" t="s">
        <v>47</v>
      </c>
      <c r="B285" t="s">
        <v>58</v>
      </c>
      <c r="C285" t="s">
        <v>501</v>
      </c>
      <c r="D285">
        <v>0</v>
      </c>
      <c r="E285">
        <f t="shared" si="35"/>
        <v>0</v>
      </c>
      <c r="F285">
        <f t="shared" si="36"/>
        <v>0</v>
      </c>
      <c r="G285">
        <f t="shared" si="37"/>
        <v>0</v>
      </c>
      <c r="H285">
        <f t="shared" si="40"/>
        <v>0</v>
      </c>
      <c r="I285">
        <f t="shared" si="38"/>
        <v>0</v>
      </c>
      <c r="J285">
        <f t="shared" si="39"/>
        <v>0</v>
      </c>
      <c r="K285">
        <f t="shared" si="41"/>
        <v>0</v>
      </c>
    </row>
    <row r="286" spans="1:11" x14ac:dyDescent="0.25">
      <c r="A286" t="s">
        <v>4</v>
      </c>
      <c r="B286" t="s">
        <v>57</v>
      </c>
      <c r="C286" t="s">
        <v>500</v>
      </c>
      <c r="D286">
        <v>0</v>
      </c>
      <c r="E286">
        <f t="shared" si="35"/>
        <v>0</v>
      </c>
      <c r="F286">
        <f t="shared" si="36"/>
        <v>0</v>
      </c>
      <c r="G286">
        <f t="shared" si="37"/>
        <v>0</v>
      </c>
      <c r="H286">
        <f t="shared" si="40"/>
        <v>0</v>
      </c>
      <c r="I286">
        <f t="shared" si="38"/>
        <v>0</v>
      </c>
      <c r="J286">
        <f t="shared" si="39"/>
        <v>0</v>
      </c>
      <c r="K286">
        <f t="shared" si="41"/>
        <v>0</v>
      </c>
    </row>
    <row r="287" spans="1:11" x14ac:dyDescent="0.25">
      <c r="A287" t="s">
        <v>4</v>
      </c>
      <c r="B287" t="s">
        <v>58</v>
      </c>
      <c r="C287" t="s">
        <v>500</v>
      </c>
      <c r="D287">
        <v>0</v>
      </c>
      <c r="E287">
        <f t="shared" si="35"/>
        <v>0</v>
      </c>
      <c r="F287">
        <f t="shared" si="36"/>
        <v>0</v>
      </c>
      <c r="G287">
        <f t="shared" si="37"/>
        <v>0</v>
      </c>
      <c r="H287">
        <f t="shared" si="40"/>
        <v>0</v>
      </c>
      <c r="I287">
        <f t="shared" si="38"/>
        <v>0</v>
      </c>
      <c r="J287">
        <f t="shared" si="39"/>
        <v>0</v>
      </c>
      <c r="K287">
        <f t="shared" si="41"/>
        <v>0</v>
      </c>
    </row>
    <row r="288" spans="1:11" x14ac:dyDescent="0.25">
      <c r="A288" t="s">
        <v>54</v>
      </c>
      <c r="B288" t="s">
        <v>57</v>
      </c>
      <c r="C288" t="s">
        <v>500</v>
      </c>
      <c r="D288">
        <v>0</v>
      </c>
      <c r="E288">
        <f t="shared" si="35"/>
        <v>0</v>
      </c>
      <c r="F288">
        <f t="shared" si="36"/>
        <v>0</v>
      </c>
      <c r="G288">
        <f t="shared" si="37"/>
        <v>0</v>
      </c>
      <c r="H288">
        <f t="shared" si="40"/>
        <v>0</v>
      </c>
      <c r="I288">
        <f t="shared" si="38"/>
        <v>0</v>
      </c>
      <c r="J288">
        <f t="shared" si="39"/>
        <v>0</v>
      </c>
      <c r="K288">
        <f t="shared" si="41"/>
        <v>0</v>
      </c>
    </row>
    <row r="289" spans="1:11" x14ac:dyDescent="0.25">
      <c r="A289" t="s">
        <v>54</v>
      </c>
      <c r="B289" t="s">
        <v>58</v>
      </c>
      <c r="C289" t="s">
        <v>500</v>
      </c>
      <c r="D289">
        <v>0</v>
      </c>
      <c r="E289">
        <f t="shared" si="35"/>
        <v>0</v>
      </c>
      <c r="F289">
        <f t="shared" si="36"/>
        <v>0</v>
      </c>
      <c r="G289">
        <f t="shared" si="37"/>
        <v>0</v>
      </c>
      <c r="H289">
        <f t="shared" si="40"/>
        <v>0</v>
      </c>
      <c r="I289">
        <f t="shared" si="38"/>
        <v>0</v>
      </c>
      <c r="J289">
        <f t="shared" si="39"/>
        <v>0</v>
      </c>
      <c r="K289">
        <f t="shared" si="41"/>
        <v>0</v>
      </c>
    </row>
    <row r="290" spans="1:11" x14ac:dyDescent="0.25">
      <c r="A290" t="s">
        <v>34</v>
      </c>
      <c r="B290" t="s">
        <v>57</v>
      </c>
      <c r="C290" t="s">
        <v>500</v>
      </c>
      <c r="D290">
        <v>0</v>
      </c>
      <c r="E290">
        <f t="shared" si="35"/>
        <v>0</v>
      </c>
      <c r="F290">
        <f t="shared" si="36"/>
        <v>0</v>
      </c>
      <c r="G290">
        <f t="shared" si="37"/>
        <v>0</v>
      </c>
      <c r="H290">
        <f t="shared" si="40"/>
        <v>0</v>
      </c>
      <c r="I290">
        <f t="shared" si="38"/>
        <v>0</v>
      </c>
      <c r="J290">
        <f t="shared" si="39"/>
        <v>0</v>
      </c>
      <c r="K290">
        <f t="shared" si="41"/>
        <v>0</v>
      </c>
    </row>
    <row r="291" spans="1:11" x14ac:dyDescent="0.25">
      <c r="A291" t="s">
        <v>34</v>
      </c>
      <c r="B291" t="s">
        <v>58</v>
      </c>
      <c r="C291" t="s">
        <v>500</v>
      </c>
      <c r="D291">
        <v>0</v>
      </c>
      <c r="E291">
        <f t="shared" si="35"/>
        <v>0</v>
      </c>
      <c r="F291">
        <f t="shared" si="36"/>
        <v>0</v>
      </c>
      <c r="G291">
        <f t="shared" si="37"/>
        <v>0</v>
      </c>
      <c r="H291">
        <f t="shared" si="40"/>
        <v>0</v>
      </c>
      <c r="I291">
        <f t="shared" si="38"/>
        <v>0</v>
      </c>
      <c r="J291">
        <f t="shared" si="39"/>
        <v>0</v>
      </c>
      <c r="K291">
        <f t="shared" si="41"/>
        <v>0</v>
      </c>
    </row>
    <row r="292" spans="1:11" x14ac:dyDescent="0.25">
      <c r="A292" t="s">
        <v>37</v>
      </c>
      <c r="B292" t="s">
        <v>58</v>
      </c>
      <c r="C292" t="s">
        <v>500</v>
      </c>
      <c r="D292">
        <v>0</v>
      </c>
      <c r="E292">
        <f t="shared" si="35"/>
        <v>0</v>
      </c>
      <c r="F292">
        <f t="shared" si="36"/>
        <v>0</v>
      </c>
      <c r="G292">
        <f t="shared" si="37"/>
        <v>0</v>
      </c>
      <c r="H292">
        <f t="shared" si="40"/>
        <v>0</v>
      </c>
      <c r="I292">
        <f t="shared" si="38"/>
        <v>0</v>
      </c>
      <c r="J292">
        <f t="shared" si="39"/>
        <v>0</v>
      </c>
    </row>
    <row r="293" spans="1:11" x14ac:dyDescent="0.25">
      <c r="A293" t="s">
        <v>4</v>
      </c>
      <c r="B293" t="s">
        <v>58</v>
      </c>
      <c r="C293" t="s">
        <v>504</v>
      </c>
      <c r="D293">
        <v>0</v>
      </c>
      <c r="E293">
        <f t="shared" si="35"/>
        <v>0</v>
      </c>
      <c r="F293">
        <f t="shared" si="36"/>
        <v>0</v>
      </c>
      <c r="G293">
        <f t="shared" si="37"/>
        <v>0</v>
      </c>
      <c r="I293">
        <f t="shared" si="38"/>
        <v>0</v>
      </c>
      <c r="J293">
        <f t="shared" si="39"/>
        <v>0</v>
      </c>
    </row>
    <row r="294" spans="1:11" x14ac:dyDescent="0.25">
      <c r="A294" t="s">
        <v>54</v>
      </c>
      <c r="B294" t="s">
        <v>57</v>
      </c>
      <c r="C294" t="s">
        <v>504</v>
      </c>
      <c r="D294">
        <v>0</v>
      </c>
      <c r="E294">
        <f t="shared" si="35"/>
        <v>0</v>
      </c>
      <c r="F294">
        <f t="shared" si="36"/>
        <v>0</v>
      </c>
      <c r="G294">
        <f t="shared" si="37"/>
        <v>0</v>
      </c>
      <c r="I294">
        <f t="shared" si="38"/>
        <v>0</v>
      </c>
      <c r="J294">
        <f t="shared" si="39"/>
        <v>0</v>
      </c>
    </row>
    <row r="295" spans="1:11" x14ac:dyDescent="0.25">
      <c r="A295" t="s">
        <v>54</v>
      </c>
      <c r="B295" t="s">
        <v>58</v>
      </c>
      <c r="C295" t="s">
        <v>504</v>
      </c>
      <c r="D295">
        <v>0</v>
      </c>
      <c r="E295">
        <f t="shared" si="35"/>
        <v>0</v>
      </c>
      <c r="F295">
        <f t="shared" si="36"/>
        <v>0</v>
      </c>
      <c r="G295">
        <f t="shared" si="37"/>
        <v>0</v>
      </c>
      <c r="I295">
        <f t="shared" si="38"/>
        <v>0</v>
      </c>
      <c r="J295">
        <f t="shared" si="39"/>
        <v>0</v>
      </c>
    </row>
    <row r="296" spans="1:11" x14ac:dyDescent="0.25">
      <c r="A296" t="s">
        <v>34</v>
      </c>
      <c r="B296" t="s">
        <v>58</v>
      </c>
      <c r="C296" t="s">
        <v>504</v>
      </c>
      <c r="D296">
        <v>0</v>
      </c>
      <c r="E296">
        <f t="shared" si="35"/>
        <v>0</v>
      </c>
      <c r="F296">
        <f t="shared" si="36"/>
        <v>0</v>
      </c>
      <c r="G296">
        <f t="shared" si="37"/>
        <v>0</v>
      </c>
      <c r="I296">
        <f t="shared" si="38"/>
        <v>0</v>
      </c>
      <c r="J296">
        <f t="shared" si="39"/>
        <v>0</v>
      </c>
    </row>
    <row r="297" spans="1:11" x14ac:dyDescent="0.25">
      <c r="A297" t="s">
        <v>37</v>
      </c>
      <c r="B297" t="s">
        <v>58</v>
      </c>
      <c r="C297" t="s">
        <v>504</v>
      </c>
      <c r="D297">
        <v>0</v>
      </c>
      <c r="E297">
        <f t="shared" si="35"/>
        <v>0</v>
      </c>
      <c r="F297">
        <f t="shared" si="36"/>
        <v>0</v>
      </c>
      <c r="G297">
        <f t="shared" si="37"/>
        <v>0</v>
      </c>
      <c r="I297">
        <f t="shared" si="38"/>
        <v>0</v>
      </c>
      <c r="J297">
        <f t="shared" si="39"/>
        <v>0</v>
      </c>
    </row>
    <row r="298" spans="1:11" x14ac:dyDescent="0.25">
      <c r="A298" t="s">
        <v>40</v>
      </c>
      <c r="B298" t="s">
        <v>57</v>
      </c>
      <c r="C298" t="s">
        <v>504</v>
      </c>
      <c r="D298">
        <v>0</v>
      </c>
      <c r="E298">
        <f t="shared" si="35"/>
        <v>0</v>
      </c>
      <c r="F298">
        <f t="shared" si="36"/>
        <v>0</v>
      </c>
      <c r="G298">
        <f t="shared" si="37"/>
        <v>0</v>
      </c>
      <c r="I298">
        <f t="shared" si="38"/>
        <v>0</v>
      </c>
      <c r="J298">
        <f t="shared" si="39"/>
        <v>0</v>
      </c>
    </row>
    <row r="299" spans="1:11" x14ac:dyDescent="0.25">
      <c r="A299" t="s">
        <v>53</v>
      </c>
      <c r="B299" t="s">
        <v>58</v>
      </c>
      <c r="C299" t="s">
        <v>504</v>
      </c>
      <c r="D299">
        <v>0</v>
      </c>
      <c r="E299">
        <f t="shared" si="35"/>
        <v>0</v>
      </c>
      <c r="F299">
        <f t="shared" si="36"/>
        <v>0</v>
      </c>
      <c r="G299">
        <f t="shared" si="37"/>
        <v>0</v>
      </c>
      <c r="I299">
        <f t="shared" si="38"/>
        <v>0</v>
      </c>
      <c r="J299">
        <f t="shared" si="39"/>
        <v>0</v>
      </c>
    </row>
    <row r="300" spans="1:11" x14ac:dyDescent="0.25">
      <c r="A300" t="s">
        <v>46</v>
      </c>
      <c r="B300" t="s">
        <v>58</v>
      </c>
      <c r="C300" t="s">
        <v>504</v>
      </c>
      <c r="D300">
        <v>0</v>
      </c>
      <c r="E300">
        <f t="shared" si="35"/>
        <v>0</v>
      </c>
      <c r="F300">
        <f t="shared" si="36"/>
        <v>0</v>
      </c>
      <c r="G300">
        <f t="shared" si="37"/>
        <v>0</v>
      </c>
      <c r="I300">
        <f t="shared" si="38"/>
        <v>0</v>
      </c>
      <c r="J300">
        <f t="shared" si="39"/>
        <v>0</v>
      </c>
    </row>
    <row r="301" spans="1:11" x14ac:dyDescent="0.25">
      <c r="A301" t="s">
        <v>47</v>
      </c>
      <c r="B301" t="s">
        <v>58</v>
      </c>
      <c r="C301" t="s">
        <v>504</v>
      </c>
      <c r="D301">
        <v>0</v>
      </c>
      <c r="E301">
        <f t="shared" si="35"/>
        <v>0</v>
      </c>
      <c r="F301">
        <f t="shared" si="36"/>
        <v>0</v>
      </c>
      <c r="G301">
        <f t="shared" si="37"/>
        <v>0</v>
      </c>
      <c r="I301">
        <f t="shared" si="38"/>
        <v>0</v>
      </c>
      <c r="J301">
        <f t="shared" si="39"/>
        <v>0</v>
      </c>
    </row>
    <row r="302" spans="1:11" x14ac:dyDescent="0.25">
      <c r="A302" t="s">
        <v>4</v>
      </c>
      <c r="B302" t="s">
        <v>58</v>
      </c>
      <c r="C302" t="s">
        <v>502</v>
      </c>
      <c r="D302">
        <v>0</v>
      </c>
      <c r="E302">
        <f t="shared" si="35"/>
        <v>0</v>
      </c>
      <c r="F302">
        <f t="shared" si="36"/>
        <v>0</v>
      </c>
      <c r="G302">
        <f t="shared" si="37"/>
        <v>0</v>
      </c>
      <c r="H302">
        <f t="shared" ref="H302:H313" si="42">G302*1.002^4</f>
        <v>0</v>
      </c>
      <c r="I302">
        <f t="shared" si="38"/>
        <v>0</v>
      </c>
      <c r="J302">
        <f t="shared" si="39"/>
        <v>0</v>
      </c>
    </row>
    <row r="303" spans="1:11" x14ac:dyDescent="0.25">
      <c r="A303" t="s">
        <v>54</v>
      </c>
      <c r="B303" t="s">
        <v>57</v>
      </c>
      <c r="C303" t="s">
        <v>502</v>
      </c>
      <c r="D303">
        <v>0</v>
      </c>
      <c r="E303">
        <f t="shared" si="35"/>
        <v>0</v>
      </c>
      <c r="F303">
        <f t="shared" si="36"/>
        <v>0</v>
      </c>
      <c r="G303">
        <f t="shared" si="37"/>
        <v>0</v>
      </c>
      <c r="H303">
        <f t="shared" si="42"/>
        <v>0</v>
      </c>
      <c r="I303">
        <f t="shared" si="38"/>
        <v>0</v>
      </c>
      <c r="J303">
        <f t="shared" si="39"/>
        <v>0</v>
      </c>
    </row>
    <row r="304" spans="1:11" x14ac:dyDescent="0.25">
      <c r="A304" t="s">
        <v>54</v>
      </c>
      <c r="B304" t="s">
        <v>58</v>
      </c>
      <c r="C304" t="s">
        <v>502</v>
      </c>
      <c r="D304">
        <v>0</v>
      </c>
      <c r="E304">
        <f t="shared" si="35"/>
        <v>0</v>
      </c>
      <c r="F304">
        <f t="shared" si="36"/>
        <v>0</v>
      </c>
      <c r="G304">
        <f t="shared" si="37"/>
        <v>0</v>
      </c>
      <c r="H304">
        <f t="shared" si="42"/>
        <v>0</v>
      </c>
      <c r="I304">
        <f t="shared" si="38"/>
        <v>0</v>
      </c>
      <c r="J304">
        <f t="shared" si="39"/>
        <v>0</v>
      </c>
    </row>
    <row r="305" spans="1:30" x14ac:dyDescent="0.25">
      <c r="A305" t="s">
        <v>34</v>
      </c>
      <c r="B305" t="s">
        <v>58</v>
      </c>
      <c r="C305" t="s">
        <v>502</v>
      </c>
      <c r="D305">
        <v>0</v>
      </c>
      <c r="E305">
        <f t="shared" si="35"/>
        <v>0</v>
      </c>
      <c r="F305">
        <f t="shared" si="36"/>
        <v>0</v>
      </c>
      <c r="G305">
        <f t="shared" si="37"/>
        <v>0</v>
      </c>
      <c r="H305">
        <f t="shared" si="42"/>
        <v>0</v>
      </c>
      <c r="I305">
        <f t="shared" si="38"/>
        <v>0</v>
      </c>
      <c r="J305">
        <f t="shared" si="39"/>
        <v>0</v>
      </c>
    </row>
    <row r="306" spans="1:30" x14ac:dyDescent="0.25">
      <c r="A306" t="s">
        <v>37</v>
      </c>
      <c r="B306" t="s">
        <v>58</v>
      </c>
      <c r="C306" t="s">
        <v>502</v>
      </c>
      <c r="D306">
        <v>0</v>
      </c>
      <c r="E306">
        <f t="shared" si="35"/>
        <v>0</v>
      </c>
      <c r="F306">
        <f t="shared" si="36"/>
        <v>0</v>
      </c>
      <c r="G306">
        <f t="shared" si="37"/>
        <v>0</v>
      </c>
      <c r="H306">
        <f t="shared" si="42"/>
        <v>0</v>
      </c>
      <c r="I306">
        <f t="shared" si="38"/>
        <v>0</v>
      </c>
      <c r="J306">
        <f t="shared" si="39"/>
        <v>0</v>
      </c>
    </row>
    <row r="307" spans="1:30" x14ac:dyDescent="0.25">
      <c r="A307" t="s">
        <v>40</v>
      </c>
      <c r="B307" t="s">
        <v>57</v>
      </c>
      <c r="C307" t="s">
        <v>502</v>
      </c>
      <c r="D307">
        <v>0</v>
      </c>
      <c r="E307">
        <f t="shared" si="35"/>
        <v>0</v>
      </c>
      <c r="F307">
        <f t="shared" si="36"/>
        <v>0</v>
      </c>
      <c r="G307">
        <f t="shared" si="37"/>
        <v>0</v>
      </c>
      <c r="H307">
        <f t="shared" si="42"/>
        <v>0</v>
      </c>
      <c r="I307">
        <f t="shared" si="38"/>
        <v>0</v>
      </c>
      <c r="J307">
        <f t="shared" si="39"/>
        <v>0</v>
      </c>
    </row>
    <row r="308" spans="1:30" x14ac:dyDescent="0.25">
      <c r="A308" t="s">
        <v>40</v>
      </c>
      <c r="B308" t="s">
        <v>58</v>
      </c>
      <c r="C308" t="s">
        <v>502</v>
      </c>
      <c r="D308">
        <v>0</v>
      </c>
      <c r="E308">
        <f t="shared" si="35"/>
        <v>0</v>
      </c>
      <c r="F308">
        <f t="shared" si="36"/>
        <v>0</v>
      </c>
      <c r="G308">
        <f t="shared" si="37"/>
        <v>0</v>
      </c>
      <c r="H308">
        <f t="shared" si="42"/>
        <v>0</v>
      </c>
      <c r="I308">
        <f t="shared" si="38"/>
        <v>0</v>
      </c>
      <c r="J308">
        <f t="shared" si="39"/>
        <v>0</v>
      </c>
    </row>
    <row r="309" spans="1:30" x14ac:dyDescent="0.25">
      <c r="A309" t="s">
        <v>43</v>
      </c>
      <c r="B309" t="s">
        <v>58</v>
      </c>
      <c r="C309" t="s">
        <v>502</v>
      </c>
      <c r="D309">
        <v>0</v>
      </c>
      <c r="E309">
        <f t="shared" si="35"/>
        <v>0</v>
      </c>
      <c r="F309">
        <f t="shared" si="36"/>
        <v>0</v>
      </c>
      <c r="G309">
        <f t="shared" si="37"/>
        <v>0</v>
      </c>
      <c r="H309">
        <f t="shared" si="42"/>
        <v>0</v>
      </c>
      <c r="I309">
        <f t="shared" si="38"/>
        <v>0</v>
      </c>
      <c r="J309">
        <f t="shared" si="39"/>
        <v>0</v>
      </c>
    </row>
    <row r="310" spans="1:30" x14ac:dyDescent="0.25">
      <c r="A310" t="s">
        <v>53</v>
      </c>
      <c r="B310" t="s">
        <v>58</v>
      </c>
      <c r="C310" t="s">
        <v>502</v>
      </c>
      <c r="D310">
        <v>0</v>
      </c>
      <c r="E310">
        <f t="shared" si="35"/>
        <v>0</v>
      </c>
      <c r="F310">
        <f t="shared" si="36"/>
        <v>0</v>
      </c>
      <c r="G310">
        <f t="shared" si="37"/>
        <v>0</v>
      </c>
      <c r="H310">
        <f t="shared" si="42"/>
        <v>0</v>
      </c>
      <c r="I310">
        <f t="shared" si="38"/>
        <v>0</v>
      </c>
      <c r="J310">
        <f t="shared" si="39"/>
        <v>0</v>
      </c>
    </row>
    <row r="311" spans="1:30" x14ac:dyDescent="0.25">
      <c r="A311" t="s">
        <v>45</v>
      </c>
      <c r="B311" t="s">
        <v>58</v>
      </c>
      <c r="C311" t="s">
        <v>502</v>
      </c>
      <c r="D311">
        <v>0</v>
      </c>
      <c r="E311">
        <f t="shared" si="35"/>
        <v>0</v>
      </c>
      <c r="F311">
        <f t="shared" si="36"/>
        <v>0</v>
      </c>
      <c r="G311">
        <f t="shared" si="37"/>
        <v>0</v>
      </c>
      <c r="H311">
        <f t="shared" si="42"/>
        <v>0</v>
      </c>
      <c r="I311">
        <f t="shared" si="38"/>
        <v>0</v>
      </c>
      <c r="J311">
        <f t="shared" si="39"/>
        <v>0</v>
      </c>
    </row>
    <row r="312" spans="1:30" x14ac:dyDescent="0.25">
      <c r="A312" t="s">
        <v>46</v>
      </c>
      <c r="B312" t="s">
        <v>58</v>
      </c>
      <c r="C312" t="s">
        <v>502</v>
      </c>
      <c r="D312">
        <v>0</v>
      </c>
      <c r="E312">
        <f t="shared" si="35"/>
        <v>0</v>
      </c>
      <c r="F312">
        <f t="shared" si="36"/>
        <v>0</v>
      </c>
      <c r="G312">
        <f t="shared" si="37"/>
        <v>0</v>
      </c>
      <c r="H312">
        <f t="shared" si="42"/>
        <v>0</v>
      </c>
      <c r="I312">
        <f t="shared" si="38"/>
        <v>0</v>
      </c>
      <c r="J312">
        <f t="shared" si="39"/>
        <v>0</v>
      </c>
    </row>
    <row r="313" spans="1:30" x14ac:dyDescent="0.25">
      <c r="A313" t="s">
        <v>47</v>
      </c>
      <c r="B313" t="s">
        <v>58</v>
      </c>
      <c r="C313" t="s">
        <v>502</v>
      </c>
      <c r="D313">
        <v>0</v>
      </c>
      <c r="E313">
        <f t="shared" si="35"/>
        <v>0</v>
      </c>
      <c r="F313">
        <f t="shared" si="36"/>
        <v>0</v>
      </c>
      <c r="G313">
        <f t="shared" si="37"/>
        <v>0</v>
      </c>
      <c r="H313">
        <f t="shared" si="42"/>
        <v>0</v>
      </c>
      <c r="I313">
        <f t="shared" si="38"/>
        <v>0</v>
      </c>
      <c r="J313">
        <f t="shared" si="39"/>
        <v>0</v>
      </c>
      <c r="M313" t="s">
        <v>633</v>
      </c>
      <c r="N313" t="s">
        <v>633</v>
      </c>
      <c r="O313" t="s">
        <v>633</v>
      </c>
      <c r="P313" t="s">
        <v>633</v>
      </c>
      <c r="Q313" t="s">
        <v>633</v>
      </c>
      <c r="R313" t="s">
        <v>633</v>
      </c>
      <c r="S313" t="s">
        <v>633</v>
      </c>
      <c r="T313" t="s">
        <v>633</v>
      </c>
      <c r="U313" t="s">
        <v>633</v>
      </c>
      <c r="V313" t="s">
        <v>633</v>
      </c>
      <c r="W313" t="s">
        <v>633</v>
      </c>
      <c r="X313" t="s">
        <v>633</v>
      </c>
      <c r="Y313" t="s">
        <v>633</v>
      </c>
      <c r="Z313" t="s">
        <v>633</v>
      </c>
      <c r="AA313" t="s">
        <v>633</v>
      </c>
      <c r="AB313" t="s">
        <v>633</v>
      </c>
      <c r="AC313" t="s">
        <v>633</v>
      </c>
      <c r="AD313" t="s">
        <v>633</v>
      </c>
    </row>
  </sheetData>
  <autoFilter ref="A1:K1" xr:uid="{FEAC8083-8073-4708-9AE8-A894D58A1ECD}">
    <sortState xmlns:xlrd2="http://schemas.microsoft.com/office/spreadsheetml/2017/richdata2" ref="A2:K313">
      <sortCondition descending="1" ref="D1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9A23A-6549-4BFB-8CFE-8BFCAC8B0CB4}">
  <dimension ref="A1:D2155"/>
  <sheetViews>
    <sheetView topLeftCell="A32" zoomScaleNormal="100" workbookViewId="0">
      <selection activeCell="B32" sqref="B32"/>
    </sheetView>
  </sheetViews>
  <sheetFormatPr defaultRowHeight="15" x14ac:dyDescent="0.25"/>
  <cols>
    <col min="1" max="1" width="15.5703125" bestFit="1" customWidth="1"/>
    <col min="2" max="2" width="16.85546875" customWidth="1"/>
  </cols>
  <sheetData>
    <row r="1" spans="1:4" x14ac:dyDescent="0.25">
      <c r="A1" s="1" t="s">
        <v>0</v>
      </c>
      <c r="B1" s="1" t="s">
        <v>1</v>
      </c>
      <c r="C1" s="1" t="s">
        <v>478</v>
      </c>
      <c r="D1" s="1" t="s">
        <v>3</v>
      </c>
    </row>
    <row r="2" spans="1:4" x14ac:dyDescent="0.25">
      <c r="A2" t="s">
        <v>61</v>
      </c>
      <c r="B2" t="s">
        <v>62</v>
      </c>
      <c r="C2" t="s">
        <v>479</v>
      </c>
      <c r="D2">
        <v>-0.246</v>
      </c>
    </row>
    <row r="3" spans="1:4" x14ac:dyDescent="0.25">
      <c r="A3" t="s">
        <v>61</v>
      </c>
      <c r="B3" t="s">
        <v>62</v>
      </c>
      <c r="C3" t="s">
        <v>481</v>
      </c>
      <c r="D3">
        <v>-0.246</v>
      </c>
    </row>
    <row r="4" spans="1:4" x14ac:dyDescent="0.25">
      <c r="A4" t="s">
        <v>61</v>
      </c>
      <c r="B4" t="s">
        <v>62</v>
      </c>
      <c r="C4" t="s">
        <v>491</v>
      </c>
      <c r="D4">
        <v>-0.246</v>
      </c>
    </row>
    <row r="5" spans="1:4" x14ac:dyDescent="0.25">
      <c r="A5" t="s">
        <v>61</v>
      </c>
      <c r="B5" t="s">
        <v>62</v>
      </c>
      <c r="C5" t="s">
        <v>492</v>
      </c>
      <c r="D5">
        <v>-0.246</v>
      </c>
    </row>
    <row r="6" spans="1:4" x14ac:dyDescent="0.25">
      <c r="A6" t="s">
        <v>61</v>
      </c>
      <c r="B6" t="s">
        <v>62</v>
      </c>
      <c r="C6" t="s">
        <v>483</v>
      </c>
      <c r="D6">
        <v>-0.246</v>
      </c>
    </row>
    <row r="7" spans="1:4" x14ac:dyDescent="0.25">
      <c r="A7" t="s">
        <v>61</v>
      </c>
      <c r="B7" t="s">
        <v>62</v>
      </c>
      <c r="C7" t="s">
        <v>493</v>
      </c>
      <c r="D7">
        <v>-0.246</v>
      </c>
    </row>
    <row r="8" spans="1:4" x14ac:dyDescent="0.25">
      <c r="A8" t="s">
        <v>61</v>
      </c>
      <c r="B8" t="s">
        <v>62</v>
      </c>
      <c r="C8" t="s">
        <v>486</v>
      </c>
      <c r="D8">
        <v>-0.246</v>
      </c>
    </row>
    <row r="9" spans="1:4" x14ac:dyDescent="0.25">
      <c r="A9" t="s">
        <v>61</v>
      </c>
      <c r="B9" t="s">
        <v>62</v>
      </c>
      <c r="C9" t="s">
        <v>487</v>
      </c>
      <c r="D9">
        <v>-0.246</v>
      </c>
    </row>
    <row r="10" spans="1:4" x14ac:dyDescent="0.25">
      <c r="A10" t="s">
        <v>61</v>
      </c>
      <c r="B10" t="s">
        <v>62</v>
      </c>
      <c r="C10" t="s">
        <v>496</v>
      </c>
      <c r="D10">
        <v>-0.246</v>
      </c>
    </row>
    <row r="11" spans="1:4" x14ac:dyDescent="0.25">
      <c r="A11" t="s">
        <v>61</v>
      </c>
      <c r="B11" t="s">
        <v>62</v>
      </c>
      <c r="C11" t="s">
        <v>499</v>
      </c>
      <c r="D11">
        <v>-0.246</v>
      </c>
    </row>
    <row r="12" spans="1:4" x14ac:dyDescent="0.25">
      <c r="A12" t="s">
        <v>61</v>
      </c>
      <c r="B12" t="s">
        <v>27</v>
      </c>
      <c r="C12" t="s">
        <v>479</v>
      </c>
      <c r="D12">
        <v>3.988</v>
      </c>
    </row>
    <row r="13" spans="1:4" x14ac:dyDescent="0.25">
      <c r="A13" t="s">
        <v>61</v>
      </c>
      <c r="B13" t="s">
        <v>27</v>
      </c>
      <c r="C13" t="s">
        <v>481</v>
      </c>
      <c r="D13">
        <v>3.9180000000000001</v>
      </c>
    </row>
    <row r="14" spans="1:4" x14ac:dyDescent="0.25">
      <c r="A14" t="s">
        <v>61</v>
      </c>
      <c r="B14" t="s">
        <v>27</v>
      </c>
      <c r="C14" t="s">
        <v>491</v>
      </c>
      <c r="D14">
        <v>3.843</v>
      </c>
    </row>
    <row r="15" spans="1:4" x14ac:dyDescent="0.25">
      <c r="A15" t="s">
        <v>61</v>
      </c>
      <c r="B15" t="s">
        <v>27</v>
      </c>
      <c r="C15" t="s">
        <v>492</v>
      </c>
      <c r="D15">
        <v>3.5569999999999999</v>
      </c>
    </row>
    <row r="16" spans="1:4" x14ac:dyDescent="0.25">
      <c r="A16" t="s">
        <v>61</v>
      </c>
      <c r="B16" t="s">
        <v>27</v>
      </c>
      <c r="C16" t="s">
        <v>483</v>
      </c>
      <c r="D16">
        <v>3.4670000000000001</v>
      </c>
    </row>
    <row r="17" spans="1:4" x14ac:dyDescent="0.25">
      <c r="A17" t="s">
        <v>61</v>
      </c>
      <c r="B17" t="s">
        <v>27</v>
      </c>
      <c r="C17" t="s">
        <v>493</v>
      </c>
      <c r="D17">
        <v>3.2690000000000001</v>
      </c>
    </row>
    <row r="18" spans="1:4" x14ac:dyDescent="0.25">
      <c r="A18" t="s">
        <v>61</v>
      </c>
      <c r="B18" t="s">
        <v>27</v>
      </c>
      <c r="C18" t="s">
        <v>486</v>
      </c>
      <c r="D18">
        <v>3.2109999999999999</v>
      </c>
    </row>
    <row r="19" spans="1:4" x14ac:dyDescent="0.25">
      <c r="A19" t="s">
        <v>61</v>
      </c>
      <c r="B19" t="s">
        <v>27</v>
      </c>
      <c r="C19" t="s">
        <v>487</v>
      </c>
      <c r="D19">
        <v>3.2690000000000001</v>
      </c>
    </row>
    <row r="20" spans="1:4" x14ac:dyDescent="0.25">
      <c r="A20" t="s">
        <v>61</v>
      </c>
      <c r="B20" t="s">
        <v>27</v>
      </c>
      <c r="C20" t="s">
        <v>496</v>
      </c>
      <c r="D20">
        <v>3.2749999999999999</v>
      </c>
    </row>
    <row r="21" spans="1:4" x14ac:dyDescent="0.25">
      <c r="A21" t="s">
        <v>61</v>
      </c>
      <c r="B21" t="s">
        <v>27</v>
      </c>
      <c r="C21" t="s">
        <v>499</v>
      </c>
      <c r="D21">
        <v>3.0430000000000001</v>
      </c>
    </row>
    <row r="22" spans="1:4" x14ac:dyDescent="0.25">
      <c r="A22" t="s">
        <v>61</v>
      </c>
      <c r="B22" t="s">
        <v>29</v>
      </c>
      <c r="C22" t="s">
        <v>479</v>
      </c>
      <c r="D22">
        <v>1.6990000000000001</v>
      </c>
    </row>
    <row r="23" spans="1:4" x14ac:dyDescent="0.25">
      <c r="A23" t="s">
        <v>61</v>
      </c>
      <c r="B23" t="s">
        <v>29</v>
      </c>
      <c r="C23" t="s">
        <v>481</v>
      </c>
      <c r="D23">
        <v>1.77</v>
      </c>
    </row>
    <row r="24" spans="1:4" x14ac:dyDescent="0.25">
      <c r="A24" t="s">
        <v>61</v>
      </c>
      <c r="B24" t="s">
        <v>29</v>
      </c>
      <c r="C24" t="s">
        <v>491</v>
      </c>
      <c r="D24">
        <v>1.8460000000000001</v>
      </c>
    </row>
    <row r="25" spans="1:4" x14ac:dyDescent="0.25">
      <c r="A25" t="s">
        <v>61</v>
      </c>
      <c r="B25" t="s">
        <v>29</v>
      </c>
      <c r="C25" t="s">
        <v>492</v>
      </c>
      <c r="D25">
        <v>2.137</v>
      </c>
    </row>
    <row r="26" spans="1:4" x14ac:dyDescent="0.25">
      <c r="A26" t="s">
        <v>61</v>
      </c>
      <c r="B26" t="s">
        <v>29</v>
      </c>
      <c r="C26" t="s">
        <v>483</v>
      </c>
      <c r="D26">
        <v>2.2280000000000002</v>
      </c>
    </row>
    <row r="27" spans="1:4" x14ac:dyDescent="0.25">
      <c r="A27" t="s">
        <v>61</v>
      </c>
      <c r="B27" t="s">
        <v>29</v>
      </c>
      <c r="C27" t="s">
        <v>493</v>
      </c>
      <c r="D27">
        <v>2.4300000000000002</v>
      </c>
    </row>
    <row r="28" spans="1:4" x14ac:dyDescent="0.25">
      <c r="A28" t="s">
        <v>61</v>
      </c>
      <c r="B28" t="s">
        <v>29</v>
      </c>
      <c r="C28" t="s">
        <v>486</v>
      </c>
      <c r="D28">
        <v>2.4889999999999999</v>
      </c>
    </row>
    <row r="29" spans="1:4" x14ac:dyDescent="0.25">
      <c r="A29" t="s">
        <v>61</v>
      </c>
      <c r="B29" t="s">
        <v>29</v>
      </c>
      <c r="C29" t="s">
        <v>487</v>
      </c>
      <c r="D29">
        <v>2.4300000000000002</v>
      </c>
    </row>
    <row r="30" spans="1:4" x14ac:dyDescent="0.25">
      <c r="A30" t="s">
        <v>61</v>
      </c>
      <c r="B30" t="s">
        <v>29</v>
      </c>
      <c r="C30" t="s">
        <v>496</v>
      </c>
      <c r="D30">
        <v>2.423</v>
      </c>
    </row>
    <row r="31" spans="1:4" x14ac:dyDescent="0.25">
      <c r="A31" t="s">
        <v>61</v>
      </c>
      <c r="B31" t="s">
        <v>29</v>
      </c>
      <c r="C31" t="s">
        <v>499</v>
      </c>
      <c r="D31">
        <v>2.6589999999999998</v>
      </c>
    </row>
    <row r="32" spans="1:4" x14ac:dyDescent="0.25">
      <c r="A32" t="s">
        <v>61</v>
      </c>
      <c r="B32" t="s">
        <v>63</v>
      </c>
      <c r="C32" t="s">
        <v>479</v>
      </c>
      <c r="D32">
        <v>0.629</v>
      </c>
    </row>
    <row r="33" spans="1:4" x14ac:dyDescent="0.25">
      <c r="A33" t="s">
        <v>61</v>
      </c>
      <c r="B33" t="s">
        <v>63</v>
      </c>
      <c r="C33" t="s">
        <v>481</v>
      </c>
      <c r="D33">
        <v>0.621</v>
      </c>
    </row>
    <row r="34" spans="1:4" x14ac:dyDescent="0.25">
      <c r="A34" t="s">
        <v>61</v>
      </c>
      <c r="B34" t="s">
        <v>63</v>
      </c>
      <c r="C34" t="s">
        <v>491</v>
      </c>
      <c r="D34">
        <v>0.61199999999999999</v>
      </c>
    </row>
    <row r="35" spans="1:4" x14ac:dyDescent="0.25">
      <c r="A35" t="s">
        <v>61</v>
      </c>
      <c r="B35" t="s">
        <v>63</v>
      </c>
      <c r="C35" t="s">
        <v>492</v>
      </c>
      <c r="D35">
        <v>0.57599999999999996</v>
      </c>
    </row>
    <row r="36" spans="1:4" x14ac:dyDescent="0.25">
      <c r="A36" t="s">
        <v>61</v>
      </c>
      <c r="B36" t="s">
        <v>63</v>
      </c>
      <c r="C36" t="s">
        <v>483</v>
      </c>
      <c r="D36">
        <v>0.56499999999999995</v>
      </c>
    </row>
    <row r="37" spans="1:4" x14ac:dyDescent="0.25">
      <c r="A37" t="s">
        <v>61</v>
      </c>
      <c r="B37" t="s">
        <v>63</v>
      </c>
      <c r="C37" t="s">
        <v>493</v>
      </c>
      <c r="D37">
        <v>0.54100000000000004</v>
      </c>
    </row>
    <row r="38" spans="1:4" x14ac:dyDescent="0.25">
      <c r="A38" t="s">
        <v>61</v>
      </c>
      <c r="B38" t="s">
        <v>63</v>
      </c>
      <c r="C38" t="s">
        <v>486</v>
      </c>
      <c r="D38">
        <v>0.53400000000000003</v>
      </c>
    </row>
    <row r="39" spans="1:4" x14ac:dyDescent="0.25">
      <c r="A39" t="s">
        <v>61</v>
      </c>
      <c r="B39" t="s">
        <v>63</v>
      </c>
      <c r="C39" t="s">
        <v>487</v>
      </c>
      <c r="D39">
        <v>0.54100000000000004</v>
      </c>
    </row>
    <row r="40" spans="1:4" x14ac:dyDescent="0.25">
      <c r="A40" t="s">
        <v>61</v>
      </c>
      <c r="B40" t="s">
        <v>63</v>
      </c>
      <c r="C40" t="s">
        <v>496</v>
      </c>
      <c r="D40">
        <v>0.54200000000000004</v>
      </c>
    </row>
    <row r="41" spans="1:4" x14ac:dyDescent="0.25">
      <c r="A41" t="s">
        <v>61</v>
      </c>
      <c r="B41" t="s">
        <v>63</v>
      </c>
      <c r="C41" t="s">
        <v>499</v>
      </c>
      <c r="D41">
        <v>0.51300000000000001</v>
      </c>
    </row>
    <row r="42" spans="1:4" x14ac:dyDescent="0.25">
      <c r="A42" t="s">
        <v>61</v>
      </c>
      <c r="B42" t="s">
        <v>64</v>
      </c>
      <c r="C42" t="s">
        <v>479</v>
      </c>
      <c r="D42">
        <v>0.41499999999999998</v>
      </c>
    </row>
    <row r="43" spans="1:4" x14ac:dyDescent="0.25">
      <c r="A43" t="s">
        <v>61</v>
      </c>
      <c r="B43" t="s">
        <v>64</v>
      </c>
      <c r="C43" t="s">
        <v>481</v>
      </c>
      <c r="D43">
        <v>0.41799999999999998</v>
      </c>
    </row>
    <row r="44" spans="1:4" x14ac:dyDescent="0.25">
      <c r="A44" t="s">
        <v>61</v>
      </c>
      <c r="B44" t="s">
        <v>64</v>
      </c>
      <c r="C44" t="s">
        <v>491</v>
      </c>
      <c r="D44">
        <v>0.42099999999999999</v>
      </c>
    </row>
    <row r="45" spans="1:4" x14ac:dyDescent="0.25">
      <c r="A45" t="s">
        <v>61</v>
      </c>
      <c r="B45" t="s">
        <v>64</v>
      </c>
      <c r="C45" t="s">
        <v>492</v>
      </c>
      <c r="D45">
        <v>0.42899999999999999</v>
      </c>
    </row>
    <row r="46" spans="1:4" x14ac:dyDescent="0.25">
      <c r="A46" t="s">
        <v>61</v>
      </c>
      <c r="B46" t="s">
        <v>64</v>
      </c>
      <c r="C46" t="s">
        <v>483</v>
      </c>
      <c r="D46">
        <v>0.43099999999999999</v>
      </c>
    </row>
    <row r="47" spans="1:4" x14ac:dyDescent="0.25">
      <c r="A47" t="s">
        <v>61</v>
      </c>
      <c r="B47" t="s">
        <v>64</v>
      </c>
      <c r="C47" t="s">
        <v>493</v>
      </c>
      <c r="D47">
        <v>0.433</v>
      </c>
    </row>
    <row r="48" spans="1:4" x14ac:dyDescent="0.25">
      <c r="A48" t="s">
        <v>61</v>
      </c>
      <c r="B48" t="s">
        <v>64</v>
      </c>
      <c r="C48" t="s">
        <v>486</v>
      </c>
      <c r="D48">
        <v>0.433</v>
      </c>
    </row>
    <row r="49" spans="1:4" x14ac:dyDescent="0.25">
      <c r="A49" t="s">
        <v>61</v>
      </c>
      <c r="B49" t="s">
        <v>64</v>
      </c>
      <c r="C49" t="s">
        <v>487</v>
      </c>
      <c r="D49">
        <v>0.433</v>
      </c>
    </row>
    <row r="50" spans="1:4" x14ac:dyDescent="0.25">
      <c r="A50" t="s">
        <v>61</v>
      </c>
      <c r="B50" t="s">
        <v>64</v>
      </c>
      <c r="C50" t="s">
        <v>496</v>
      </c>
      <c r="D50">
        <v>0.433</v>
      </c>
    </row>
    <row r="51" spans="1:4" x14ac:dyDescent="0.25">
      <c r="A51" t="s">
        <v>61</v>
      </c>
      <c r="B51" t="s">
        <v>64</v>
      </c>
      <c r="C51" t="s">
        <v>499</v>
      </c>
      <c r="D51">
        <v>0.433</v>
      </c>
    </row>
    <row r="52" spans="1:4" x14ac:dyDescent="0.25">
      <c r="A52" t="s">
        <v>61</v>
      </c>
      <c r="B52" t="s">
        <v>24</v>
      </c>
      <c r="C52" t="s">
        <v>479</v>
      </c>
      <c r="D52">
        <v>1.4590000000000001</v>
      </c>
    </row>
    <row r="53" spans="1:4" x14ac:dyDescent="0.25">
      <c r="A53" t="s">
        <v>61</v>
      </c>
      <c r="B53" t="s">
        <v>24</v>
      </c>
      <c r="C53" t="s">
        <v>481</v>
      </c>
      <c r="D53">
        <v>1.4750000000000001</v>
      </c>
    </row>
    <row r="54" spans="1:4" x14ac:dyDescent="0.25">
      <c r="A54" t="s">
        <v>61</v>
      </c>
      <c r="B54" t="s">
        <v>24</v>
      </c>
      <c r="C54" t="s">
        <v>491</v>
      </c>
      <c r="D54">
        <v>1.468</v>
      </c>
    </row>
    <row r="55" spans="1:4" x14ac:dyDescent="0.25">
      <c r="A55" t="s">
        <v>61</v>
      </c>
      <c r="B55" t="s">
        <v>24</v>
      </c>
      <c r="C55" t="s">
        <v>492</v>
      </c>
      <c r="D55">
        <v>1.4410000000000001</v>
      </c>
    </row>
    <row r="56" spans="1:4" x14ac:dyDescent="0.25">
      <c r="A56" t="s">
        <v>61</v>
      </c>
      <c r="B56" t="s">
        <v>24</v>
      </c>
      <c r="C56" t="s">
        <v>483</v>
      </c>
      <c r="D56">
        <v>1.425</v>
      </c>
    </row>
    <row r="57" spans="1:4" x14ac:dyDescent="0.25">
      <c r="A57" t="s">
        <v>61</v>
      </c>
      <c r="B57" t="s">
        <v>24</v>
      </c>
      <c r="C57" t="s">
        <v>493</v>
      </c>
      <c r="D57">
        <v>1.403</v>
      </c>
    </row>
    <row r="58" spans="1:4" x14ac:dyDescent="0.25">
      <c r="A58" t="s">
        <v>61</v>
      </c>
      <c r="B58" t="s">
        <v>24</v>
      </c>
      <c r="C58" t="s">
        <v>486</v>
      </c>
      <c r="D58">
        <v>1.387</v>
      </c>
    </row>
    <row r="59" spans="1:4" x14ac:dyDescent="0.25">
      <c r="A59" t="s">
        <v>61</v>
      </c>
      <c r="B59" t="s">
        <v>24</v>
      </c>
      <c r="C59" t="s">
        <v>487</v>
      </c>
      <c r="D59">
        <v>1.413</v>
      </c>
    </row>
    <row r="60" spans="1:4" x14ac:dyDescent="0.25">
      <c r="A60" t="s">
        <v>61</v>
      </c>
      <c r="B60" t="s">
        <v>24</v>
      </c>
      <c r="C60" t="s">
        <v>496</v>
      </c>
      <c r="D60">
        <v>1.413</v>
      </c>
    </row>
    <row r="61" spans="1:4" x14ac:dyDescent="0.25">
      <c r="A61" t="s">
        <v>61</v>
      </c>
      <c r="B61" t="s">
        <v>24</v>
      </c>
      <c r="C61" t="s">
        <v>499</v>
      </c>
      <c r="D61">
        <v>1.3839999999999999</v>
      </c>
    </row>
    <row r="62" spans="1:4" x14ac:dyDescent="0.25">
      <c r="A62" t="s">
        <v>61</v>
      </c>
      <c r="B62" t="s">
        <v>5</v>
      </c>
      <c r="C62" t="s">
        <v>479</v>
      </c>
      <c r="D62">
        <v>4.1980000000000004</v>
      </c>
    </row>
    <row r="63" spans="1:4" x14ac:dyDescent="0.25">
      <c r="A63" t="s">
        <v>61</v>
      </c>
      <c r="B63" t="s">
        <v>5</v>
      </c>
      <c r="C63" t="s">
        <v>481</v>
      </c>
      <c r="D63">
        <v>4.0270000000000001</v>
      </c>
    </row>
    <row r="64" spans="1:4" x14ac:dyDescent="0.25">
      <c r="A64" t="s">
        <v>61</v>
      </c>
      <c r="B64" t="s">
        <v>5</v>
      </c>
      <c r="C64" t="s">
        <v>491</v>
      </c>
      <c r="D64">
        <v>3.9380000000000002</v>
      </c>
    </row>
    <row r="65" spans="1:4" x14ac:dyDescent="0.25">
      <c r="A65" t="s">
        <v>61</v>
      </c>
      <c r="B65" t="s">
        <v>5</v>
      </c>
      <c r="C65" t="s">
        <v>492</v>
      </c>
      <c r="D65">
        <v>3.681</v>
      </c>
    </row>
    <row r="66" spans="1:4" x14ac:dyDescent="0.25">
      <c r="A66" t="s">
        <v>61</v>
      </c>
      <c r="B66" t="s">
        <v>5</v>
      </c>
      <c r="C66" t="s">
        <v>483</v>
      </c>
      <c r="D66">
        <v>3.4860000000000002</v>
      </c>
    </row>
    <row r="67" spans="1:4" x14ac:dyDescent="0.25">
      <c r="A67" t="s">
        <v>61</v>
      </c>
      <c r="B67" t="s">
        <v>5</v>
      </c>
      <c r="C67" t="s">
        <v>493</v>
      </c>
      <c r="D67">
        <v>3.3140000000000001</v>
      </c>
    </row>
    <row r="68" spans="1:4" x14ac:dyDescent="0.25">
      <c r="A68" t="s">
        <v>61</v>
      </c>
      <c r="B68" t="s">
        <v>5</v>
      </c>
      <c r="C68" t="s">
        <v>486</v>
      </c>
      <c r="D68">
        <v>3.234</v>
      </c>
    </row>
    <row r="69" spans="1:4" x14ac:dyDescent="0.25">
      <c r="A69" t="s">
        <v>61</v>
      </c>
      <c r="B69" t="s">
        <v>5</v>
      </c>
      <c r="C69" t="s">
        <v>487</v>
      </c>
      <c r="D69">
        <v>3.2770000000000001</v>
      </c>
    </row>
    <row r="70" spans="1:4" x14ac:dyDescent="0.25">
      <c r="A70" t="s">
        <v>61</v>
      </c>
      <c r="B70" t="s">
        <v>5</v>
      </c>
      <c r="C70" t="s">
        <v>496</v>
      </c>
      <c r="D70">
        <v>3.2589999999999999</v>
      </c>
    </row>
    <row r="71" spans="1:4" x14ac:dyDescent="0.25">
      <c r="A71" t="s">
        <v>61</v>
      </c>
      <c r="B71" t="s">
        <v>5</v>
      </c>
      <c r="C71" t="s">
        <v>499</v>
      </c>
      <c r="D71">
        <v>3.0950000000000002</v>
      </c>
    </row>
    <row r="72" spans="1:4" x14ac:dyDescent="0.25">
      <c r="A72" t="s">
        <v>61</v>
      </c>
      <c r="B72" t="s">
        <v>22</v>
      </c>
      <c r="C72" t="s">
        <v>479</v>
      </c>
      <c r="D72">
        <v>4.3999999999999997E-2</v>
      </c>
    </row>
    <row r="73" spans="1:4" x14ac:dyDescent="0.25">
      <c r="A73" t="s">
        <v>61</v>
      </c>
      <c r="B73" t="s">
        <v>22</v>
      </c>
      <c r="C73" t="s">
        <v>481</v>
      </c>
      <c r="D73">
        <v>3.9E-2</v>
      </c>
    </row>
    <row r="74" spans="1:4" x14ac:dyDescent="0.25">
      <c r="A74" t="s">
        <v>61</v>
      </c>
      <c r="B74" t="s">
        <v>22</v>
      </c>
      <c r="C74" t="s">
        <v>491</v>
      </c>
      <c r="D74">
        <v>3.7999999999999999E-2</v>
      </c>
    </row>
    <row r="75" spans="1:4" x14ac:dyDescent="0.25">
      <c r="A75" t="s">
        <v>61</v>
      </c>
      <c r="B75" t="s">
        <v>22</v>
      </c>
      <c r="C75" t="s">
        <v>492</v>
      </c>
      <c r="D75">
        <v>3.5999999999999997E-2</v>
      </c>
    </row>
    <row r="76" spans="1:4" x14ac:dyDescent="0.25">
      <c r="A76" t="s">
        <v>61</v>
      </c>
      <c r="B76" t="s">
        <v>22</v>
      </c>
      <c r="C76" t="s">
        <v>483</v>
      </c>
      <c r="D76">
        <v>3.3000000000000002E-2</v>
      </c>
    </row>
    <row r="77" spans="1:4" x14ac:dyDescent="0.25">
      <c r="A77" t="s">
        <v>61</v>
      </c>
      <c r="B77" t="s">
        <v>22</v>
      </c>
      <c r="C77" t="s">
        <v>493</v>
      </c>
      <c r="D77">
        <v>3.5999999999999997E-2</v>
      </c>
    </row>
    <row r="78" spans="1:4" x14ac:dyDescent="0.25">
      <c r="A78" t="s">
        <v>61</v>
      </c>
      <c r="B78" t="s">
        <v>22</v>
      </c>
      <c r="C78" t="s">
        <v>486</v>
      </c>
      <c r="D78">
        <v>3.3000000000000002E-2</v>
      </c>
    </row>
    <row r="79" spans="1:4" x14ac:dyDescent="0.25">
      <c r="A79" t="s">
        <v>61</v>
      </c>
      <c r="B79" t="s">
        <v>22</v>
      </c>
      <c r="C79" t="s">
        <v>487</v>
      </c>
      <c r="D79">
        <v>3.4000000000000002E-2</v>
      </c>
    </row>
    <row r="80" spans="1:4" x14ac:dyDescent="0.25">
      <c r="A80" t="s">
        <v>61</v>
      </c>
      <c r="B80" t="s">
        <v>22</v>
      </c>
      <c r="C80" t="s">
        <v>496</v>
      </c>
      <c r="D80">
        <v>3.1E-2</v>
      </c>
    </row>
    <row r="81" spans="1:4" x14ac:dyDescent="0.25">
      <c r="A81" t="s">
        <v>61</v>
      </c>
      <c r="B81" t="s">
        <v>22</v>
      </c>
      <c r="C81" t="s">
        <v>499</v>
      </c>
      <c r="D81">
        <v>3.2000000000000001E-2</v>
      </c>
    </row>
    <row r="82" spans="1:4" x14ac:dyDescent="0.25">
      <c r="A82" t="s">
        <v>61</v>
      </c>
      <c r="B82" t="s">
        <v>65</v>
      </c>
      <c r="C82" t="s">
        <v>479</v>
      </c>
      <c r="D82">
        <v>1</v>
      </c>
    </row>
    <row r="83" spans="1:4" x14ac:dyDescent="0.25">
      <c r="A83" t="s">
        <v>61</v>
      </c>
      <c r="B83" t="s">
        <v>65</v>
      </c>
      <c r="C83" t="s">
        <v>481</v>
      </c>
      <c r="D83">
        <v>1</v>
      </c>
    </row>
    <row r="84" spans="1:4" x14ac:dyDescent="0.25">
      <c r="A84" t="s">
        <v>61</v>
      </c>
      <c r="B84" t="s">
        <v>65</v>
      </c>
      <c r="C84" t="s">
        <v>491</v>
      </c>
      <c r="D84">
        <v>1</v>
      </c>
    </row>
    <row r="85" spans="1:4" x14ac:dyDescent="0.25">
      <c r="A85" t="s">
        <v>61</v>
      </c>
      <c r="B85" t="s">
        <v>65</v>
      </c>
      <c r="C85" t="s">
        <v>492</v>
      </c>
      <c r="D85">
        <v>1</v>
      </c>
    </row>
    <row r="86" spans="1:4" x14ac:dyDescent="0.25">
      <c r="A86" t="s">
        <v>61</v>
      </c>
      <c r="B86" t="s">
        <v>65</v>
      </c>
      <c r="C86" t="s">
        <v>483</v>
      </c>
      <c r="D86">
        <v>1</v>
      </c>
    </row>
    <row r="87" spans="1:4" x14ac:dyDescent="0.25">
      <c r="A87" t="s">
        <v>61</v>
      </c>
      <c r="B87" t="s">
        <v>65</v>
      </c>
      <c r="C87" t="s">
        <v>493</v>
      </c>
      <c r="D87">
        <v>1</v>
      </c>
    </row>
    <row r="88" spans="1:4" x14ac:dyDescent="0.25">
      <c r="A88" t="s">
        <v>61</v>
      </c>
      <c r="B88" t="s">
        <v>65</v>
      </c>
      <c r="C88" t="s">
        <v>486</v>
      </c>
      <c r="D88">
        <v>1</v>
      </c>
    </row>
    <row r="89" spans="1:4" x14ac:dyDescent="0.25">
      <c r="A89" t="s">
        <v>61</v>
      </c>
      <c r="B89" t="s">
        <v>65</v>
      </c>
      <c r="C89" t="s">
        <v>487</v>
      </c>
      <c r="D89">
        <v>1</v>
      </c>
    </row>
    <row r="90" spans="1:4" x14ac:dyDescent="0.25">
      <c r="A90" t="s">
        <v>61</v>
      </c>
      <c r="B90" t="s">
        <v>65</v>
      </c>
      <c r="C90" t="s">
        <v>496</v>
      </c>
      <c r="D90">
        <v>1</v>
      </c>
    </row>
    <row r="91" spans="1:4" x14ac:dyDescent="0.25">
      <c r="A91" t="s">
        <v>61</v>
      </c>
      <c r="B91" t="s">
        <v>65</v>
      </c>
      <c r="C91" t="s">
        <v>499</v>
      </c>
      <c r="D91">
        <v>1</v>
      </c>
    </row>
    <row r="92" spans="1:4" x14ac:dyDescent="0.25">
      <c r="A92" t="s">
        <v>61</v>
      </c>
      <c r="B92" t="s">
        <v>66</v>
      </c>
      <c r="C92" t="s">
        <v>479</v>
      </c>
      <c r="D92">
        <v>1</v>
      </c>
    </row>
    <row r="93" spans="1:4" x14ac:dyDescent="0.25">
      <c r="A93" t="s">
        <v>61</v>
      </c>
      <c r="B93" t="s">
        <v>66</v>
      </c>
      <c r="C93" t="s">
        <v>481</v>
      </c>
      <c r="D93">
        <v>1</v>
      </c>
    </row>
    <row r="94" spans="1:4" x14ac:dyDescent="0.25">
      <c r="A94" t="s">
        <v>61</v>
      </c>
      <c r="B94" t="s">
        <v>66</v>
      </c>
      <c r="C94" t="s">
        <v>491</v>
      </c>
      <c r="D94">
        <v>1</v>
      </c>
    </row>
    <row r="95" spans="1:4" x14ac:dyDescent="0.25">
      <c r="A95" t="s">
        <v>61</v>
      </c>
      <c r="B95" t="s">
        <v>66</v>
      </c>
      <c r="C95" t="s">
        <v>492</v>
      </c>
      <c r="D95">
        <v>1</v>
      </c>
    </row>
    <row r="96" spans="1:4" x14ac:dyDescent="0.25">
      <c r="A96" t="s">
        <v>61</v>
      </c>
      <c r="B96" t="s">
        <v>66</v>
      </c>
      <c r="C96" t="s">
        <v>483</v>
      </c>
      <c r="D96">
        <v>1</v>
      </c>
    </row>
    <row r="97" spans="1:4" x14ac:dyDescent="0.25">
      <c r="A97" t="s">
        <v>61</v>
      </c>
      <c r="B97" t="s">
        <v>66</v>
      </c>
      <c r="C97" t="s">
        <v>493</v>
      </c>
      <c r="D97">
        <v>1</v>
      </c>
    </row>
    <row r="98" spans="1:4" x14ac:dyDescent="0.25">
      <c r="A98" t="s">
        <v>61</v>
      </c>
      <c r="B98" t="s">
        <v>66</v>
      </c>
      <c r="C98" t="s">
        <v>486</v>
      </c>
      <c r="D98">
        <v>1</v>
      </c>
    </row>
    <row r="99" spans="1:4" x14ac:dyDescent="0.25">
      <c r="A99" t="s">
        <v>61</v>
      </c>
      <c r="B99" t="s">
        <v>66</v>
      </c>
      <c r="C99" t="s">
        <v>487</v>
      </c>
      <c r="D99">
        <v>1</v>
      </c>
    </row>
    <row r="100" spans="1:4" x14ac:dyDescent="0.25">
      <c r="A100" t="s">
        <v>61</v>
      </c>
      <c r="B100" t="s">
        <v>66</v>
      </c>
      <c r="C100" t="s">
        <v>496</v>
      </c>
      <c r="D100">
        <v>1</v>
      </c>
    </row>
    <row r="101" spans="1:4" x14ac:dyDescent="0.25">
      <c r="A101" t="s">
        <v>61</v>
      </c>
      <c r="B101" t="s">
        <v>66</v>
      </c>
      <c r="C101" t="s">
        <v>499</v>
      </c>
      <c r="D101">
        <v>1</v>
      </c>
    </row>
    <row r="102" spans="1:4" x14ac:dyDescent="0.25">
      <c r="A102" t="s">
        <v>61</v>
      </c>
      <c r="B102" t="s">
        <v>615</v>
      </c>
      <c r="C102" t="s">
        <v>479</v>
      </c>
      <c r="D102">
        <v>8.3000000000000001E-3</v>
      </c>
    </row>
    <row r="103" spans="1:4" x14ac:dyDescent="0.25">
      <c r="A103" t="s">
        <v>61</v>
      </c>
      <c r="B103" t="s">
        <v>615</v>
      </c>
      <c r="C103" t="s">
        <v>481</v>
      </c>
      <c r="D103">
        <v>8.3000000000000001E-3</v>
      </c>
    </row>
    <row r="104" spans="1:4" x14ac:dyDescent="0.25">
      <c r="A104" t="s">
        <v>61</v>
      </c>
      <c r="B104" t="s">
        <v>615</v>
      </c>
      <c r="C104" t="s">
        <v>491</v>
      </c>
      <c r="D104">
        <v>8.3000000000000001E-3</v>
      </c>
    </row>
    <row r="105" spans="1:4" x14ac:dyDescent="0.25">
      <c r="A105" t="s">
        <v>61</v>
      </c>
      <c r="B105" t="s">
        <v>615</v>
      </c>
      <c r="C105" t="s">
        <v>492</v>
      </c>
      <c r="D105">
        <v>8.3000000000000001E-3</v>
      </c>
    </row>
    <row r="106" spans="1:4" x14ac:dyDescent="0.25">
      <c r="A106" t="s">
        <v>61</v>
      </c>
      <c r="B106" t="s">
        <v>615</v>
      </c>
      <c r="C106" t="s">
        <v>483</v>
      </c>
      <c r="D106">
        <v>8.3000000000000001E-3</v>
      </c>
    </row>
    <row r="107" spans="1:4" x14ac:dyDescent="0.25">
      <c r="A107" t="s">
        <v>61</v>
      </c>
      <c r="B107" t="s">
        <v>615</v>
      </c>
      <c r="C107" t="s">
        <v>493</v>
      </c>
      <c r="D107">
        <v>1.01E-2</v>
      </c>
    </row>
    <row r="108" spans="1:4" x14ac:dyDescent="0.25">
      <c r="A108" t="s">
        <v>61</v>
      </c>
      <c r="B108" t="s">
        <v>615</v>
      </c>
      <c r="C108" t="s">
        <v>486</v>
      </c>
      <c r="D108">
        <v>1.0999999999999999E-2</v>
      </c>
    </row>
    <row r="109" spans="1:4" x14ac:dyDescent="0.25">
      <c r="A109" t="s">
        <v>61</v>
      </c>
      <c r="B109" t="s">
        <v>615</v>
      </c>
      <c r="C109" t="s">
        <v>487</v>
      </c>
      <c r="D109">
        <v>8.3000000000000001E-3</v>
      </c>
    </row>
    <row r="110" spans="1:4" x14ac:dyDescent="0.25">
      <c r="A110" t="s">
        <v>61</v>
      </c>
      <c r="B110" t="s">
        <v>615</v>
      </c>
      <c r="C110" t="s">
        <v>496</v>
      </c>
      <c r="D110">
        <v>7.3000000000000001E-3</v>
      </c>
    </row>
    <row r="111" spans="1:4" x14ac:dyDescent="0.25">
      <c r="A111" t="s">
        <v>61</v>
      </c>
      <c r="B111" t="s">
        <v>615</v>
      </c>
      <c r="C111" t="s">
        <v>499</v>
      </c>
      <c r="D111">
        <v>1.01E-2</v>
      </c>
    </row>
    <row r="112" spans="1:4" x14ac:dyDescent="0.25">
      <c r="A112" t="s">
        <v>61</v>
      </c>
      <c r="B112" t="s">
        <v>67</v>
      </c>
      <c r="C112" t="s">
        <v>479</v>
      </c>
      <c r="D112">
        <v>0.68100000000000005</v>
      </c>
    </row>
    <row r="113" spans="1:4" x14ac:dyDescent="0.25">
      <c r="A113" t="s">
        <v>61</v>
      </c>
      <c r="B113" t="s">
        <v>67</v>
      </c>
      <c r="C113" t="s">
        <v>481</v>
      </c>
      <c r="D113">
        <v>0.68100000000000005</v>
      </c>
    </row>
    <row r="114" spans="1:4" x14ac:dyDescent="0.25">
      <c r="A114" t="s">
        <v>61</v>
      </c>
      <c r="B114" t="s">
        <v>67</v>
      </c>
      <c r="C114" t="s">
        <v>491</v>
      </c>
      <c r="D114">
        <v>0.68100000000000005</v>
      </c>
    </row>
    <row r="115" spans="1:4" x14ac:dyDescent="0.25">
      <c r="A115" t="s">
        <v>61</v>
      </c>
      <c r="B115" t="s">
        <v>67</v>
      </c>
      <c r="C115" t="s">
        <v>492</v>
      </c>
      <c r="D115">
        <v>0.68100000000000005</v>
      </c>
    </row>
    <row r="116" spans="1:4" x14ac:dyDescent="0.25">
      <c r="A116" t="s">
        <v>61</v>
      </c>
      <c r="B116" t="s">
        <v>67</v>
      </c>
      <c r="C116" t="s">
        <v>483</v>
      </c>
      <c r="D116">
        <v>0.68100000000000005</v>
      </c>
    </row>
    <row r="117" spans="1:4" x14ac:dyDescent="0.25">
      <c r="A117" t="s">
        <v>61</v>
      </c>
      <c r="B117" t="s">
        <v>67</v>
      </c>
      <c r="C117" t="s">
        <v>493</v>
      </c>
      <c r="D117">
        <v>0.68100000000000005</v>
      </c>
    </row>
    <row r="118" spans="1:4" x14ac:dyDescent="0.25">
      <c r="A118" t="s">
        <v>61</v>
      </c>
      <c r="B118" t="s">
        <v>67</v>
      </c>
      <c r="C118" t="s">
        <v>486</v>
      </c>
      <c r="D118">
        <v>0.68100000000000005</v>
      </c>
    </row>
    <row r="119" spans="1:4" x14ac:dyDescent="0.25">
      <c r="A119" t="s">
        <v>61</v>
      </c>
      <c r="B119" t="s">
        <v>67</v>
      </c>
      <c r="C119" t="s">
        <v>487</v>
      </c>
      <c r="D119">
        <v>0.68100000000000005</v>
      </c>
    </row>
    <row r="120" spans="1:4" x14ac:dyDescent="0.25">
      <c r="A120" t="s">
        <v>61</v>
      </c>
      <c r="B120" t="s">
        <v>67</v>
      </c>
      <c r="C120" t="s">
        <v>496</v>
      </c>
      <c r="D120">
        <v>0.68100000000000005</v>
      </c>
    </row>
    <row r="121" spans="1:4" x14ac:dyDescent="0.25">
      <c r="A121" t="s">
        <v>61</v>
      </c>
      <c r="B121" t="s">
        <v>67</v>
      </c>
      <c r="C121" t="s">
        <v>499</v>
      </c>
      <c r="D121">
        <v>0.68100000000000005</v>
      </c>
    </row>
    <row r="122" spans="1:4" x14ac:dyDescent="0.25">
      <c r="A122" t="s">
        <v>107</v>
      </c>
      <c r="B122" t="s">
        <v>65</v>
      </c>
      <c r="C122" t="s">
        <v>479</v>
      </c>
      <c r="D122">
        <v>-1</v>
      </c>
    </row>
    <row r="123" spans="1:4" x14ac:dyDescent="0.25">
      <c r="A123" t="s">
        <v>107</v>
      </c>
      <c r="B123" t="s">
        <v>65</v>
      </c>
      <c r="C123" t="s">
        <v>481</v>
      </c>
      <c r="D123">
        <v>-1</v>
      </c>
    </row>
    <row r="124" spans="1:4" x14ac:dyDescent="0.25">
      <c r="A124" t="s">
        <v>107</v>
      </c>
      <c r="B124" t="s">
        <v>65</v>
      </c>
      <c r="C124" t="s">
        <v>491</v>
      </c>
      <c r="D124">
        <v>-1</v>
      </c>
    </row>
    <row r="125" spans="1:4" x14ac:dyDescent="0.25">
      <c r="A125" t="s">
        <v>107</v>
      </c>
      <c r="B125" t="s">
        <v>65</v>
      </c>
      <c r="C125" t="s">
        <v>492</v>
      </c>
      <c r="D125">
        <v>-1</v>
      </c>
    </row>
    <row r="126" spans="1:4" x14ac:dyDescent="0.25">
      <c r="A126" t="s">
        <v>107</v>
      </c>
      <c r="B126" t="s">
        <v>65</v>
      </c>
      <c r="C126" t="s">
        <v>483</v>
      </c>
      <c r="D126">
        <v>-1</v>
      </c>
    </row>
    <row r="127" spans="1:4" x14ac:dyDescent="0.25">
      <c r="A127" t="s">
        <v>107</v>
      </c>
      <c r="B127" t="s">
        <v>65</v>
      </c>
      <c r="C127" t="s">
        <v>486</v>
      </c>
      <c r="D127">
        <v>-1</v>
      </c>
    </row>
    <row r="128" spans="1:4" x14ac:dyDescent="0.25">
      <c r="A128" t="s">
        <v>107</v>
      </c>
      <c r="B128" t="s">
        <v>65</v>
      </c>
      <c r="C128" t="s">
        <v>487</v>
      </c>
      <c r="D128">
        <v>-1</v>
      </c>
    </row>
    <row r="129" spans="1:4" x14ac:dyDescent="0.25">
      <c r="A129" t="s">
        <v>107</v>
      </c>
      <c r="B129" t="s">
        <v>65</v>
      </c>
      <c r="C129" t="s">
        <v>493</v>
      </c>
      <c r="D129">
        <v>-1</v>
      </c>
    </row>
    <row r="130" spans="1:4" x14ac:dyDescent="0.25">
      <c r="A130" t="s">
        <v>107</v>
      </c>
      <c r="B130" t="s">
        <v>65</v>
      </c>
      <c r="C130" t="s">
        <v>496</v>
      </c>
      <c r="D130">
        <v>-1</v>
      </c>
    </row>
    <row r="131" spans="1:4" x14ac:dyDescent="0.25">
      <c r="A131" t="s">
        <v>107</v>
      </c>
      <c r="B131" t="s">
        <v>65</v>
      </c>
      <c r="C131" t="s">
        <v>499</v>
      </c>
      <c r="D131">
        <v>-1</v>
      </c>
    </row>
    <row r="132" spans="1:4" x14ac:dyDescent="0.25">
      <c r="A132" t="s">
        <v>107</v>
      </c>
      <c r="B132" t="s">
        <v>92</v>
      </c>
      <c r="C132" t="s">
        <v>479</v>
      </c>
      <c r="D132">
        <v>0.86399999999999999</v>
      </c>
    </row>
    <row r="133" spans="1:4" x14ac:dyDescent="0.25">
      <c r="A133" t="s">
        <v>107</v>
      </c>
      <c r="B133" t="s">
        <v>92</v>
      </c>
      <c r="C133" t="s">
        <v>481</v>
      </c>
      <c r="D133">
        <v>0.79200000000000004</v>
      </c>
    </row>
    <row r="134" spans="1:4" x14ac:dyDescent="0.25">
      <c r="A134" t="s">
        <v>107</v>
      </c>
      <c r="B134" t="s">
        <v>92</v>
      </c>
      <c r="C134" t="s">
        <v>491</v>
      </c>
      <c r="D134">
        <v>0.79200000000000004</v>
      </c>
    </row>
    <row r="135" spans="1:4" x14ac:dyDescent="0.25">
      <c r="A135" t="s">
        <v>107</v>
      </c>
      <c r="B135" t="s">
        <v>92</v>
      </c>
      <c r="C135" t="s">
        <v>492</v>
      </c>
      <c r="D135">
        <v>0.79200000000000004</v>
      </c>
    </row>
    <row r="136" spans="1:4" x14ac:dyDescent="0.25">
      <c r="A136" t="s">
        <v>107</v>
      </c>
      <c r="B136" t="s">
        <v>92</v>
      </c>
      <c r="C136" t="s">
        <v>483</v>
      </c>
      <c r="D136">
        <v>0.72</v>
      </c>
    </row>
    <row r="137" spans="1:4" x14ac:dyDescent="0.25">
      <c r="A137" t="s">
        <v>107</v>
      </c>
      <c r="B137" t="s">
        <v>92</v>
      </c>
      <c r="C137" t="s">
        <v>486</v>
      </c>
      <c r="D137">
        <v>0.72</v>
      </c>
    </row>
    <row r="138" spans="1:4" x14ac:dyDescent="0.25">
      <c r="A138" t="s">
        <v>107</v>
      </c>
      <c r="B138" t="s">
        <v>92</v>
      </c>
      <c r="C138" t="s">
        <v>487</v>
      </c>
      <c r="D138">
        <v>0.72</v>
      </c>
    </row>
    <row r="139" spans="1:4" x14ac:dyDescent="0.25">
      <c r="A139" t="s">
        <v>107</v>
      </c>
      <c r="B139" t="s">
        <v>92</v>
      </c>
      <c r="C139" t="s">
        <v>493</v>
      </c>
      <c r="D139">
        <v>0.72</v>
      </c>
    </row>
    <row r="140" spans="1:4" x14ac:dyDescent="0.25">
      <c r="A140" t="s">
        <v>107</v>
      </c>
      <c r="B140" t="s">
        <v>92</v>
      </c>
      <c r="C140" t="s">
        <v>496</v>
      </c>
      <c r="D140">
        <v>0.72</v>
      </c>
    </row>
    <row r="141" spans="1:4" x14ac:dyDescent="0.25">
      <c r="A141" t="s">
        <v>107</v>
      </c>
      <c r="B141" t="s">
        <v>92</v>
      </c>
      <c r="C141" t="s">
        <v>499</v>
      </c>
      <c r="D141">
        <v>0.72</v>
      </c>
    </row>
    <row r="142" spans="1:4" x14ac:dyDescent="0.25">
      <c r="A142" t="s">
        <v>108</v>
      </c>
      <c r="B142" t="s">
        <v>65</v>
      </c>
      <c r="C142" t="s">
        <v>479</v>
      </c>
      <c r="D142">
        <v>-1</v>
      </c>
    </row>
    <row r="143" spans="1:4" x14ac:dyDescent="0.25">
      <c r="A143" t="s">
        <v>108</v>
      </c>
      <c r="B143" t="s">
        <v>65</v>
      </c>
      <c r="C143" t="s">
        <v>481</v>
      </c>
      <c r="D143">
        <v>-1</v>
      </c>
    </row>
    <row r="144" spans="1:4" x14ac:dyDescent="0.25">
      <c r="A144" t="s">
        <v>108</v>
      </c>
      <c r="B144" t="s">
        <v>65</v>
      </c>
      <c r="C144" t="s">
        <v>491</v>
      </c>
      <c r="D144">
        <v>-1</v>
      </c>
    </row>
    <row r="145" spans="1:4" x14ac:dyDescent="0.25">
      <c r="A145" t="s">
        <v>108</v>
      </c>
      <c r="B145" t="s">
        <v>65</v>
      </c>
      <c r="C145" t="s">
        <v>492</v>
      </c>
      <c r="D145">
        <v>-1</v>
      </c>
    </row>
    <row r="146" spans="1:4" x14ac:dyDescent="0.25">
      <c r="A146" t="s">
        <v>108</v>
      </c>
      <c r="B146" t="s">
        <v>65</v>
      </c>
      <c r="C146" t="s">
        <v>483</v>
      </c>
      <c r="D146">
        <v>-1</v>
      </c>
    </row>
    <row r="147" spans="1:4" x14ac:dyDescent="0.25">
      <c r="A147" t="s">
        <v>108</v>
      </c>
      <c r="B147" t="s">
        <v>65</v>
      </c>
      <c r="C147" t="s">
        <v>486</v>
      </c>
      <c r="D147">
        <v>-1</v>
      </c>
    </row>
    <row r="148" spans="1:4" x14ac:dyDescent="0.25">
      <c r="A148" t="s">
        <v>108</v>
      </c>
      <c r="B148" t="s">
        <v>65</v>
      </c>
      <c r="C148" t="s">
        <v>487</v>
      </c>
      <c r="D148">
        <v>-1</v>
      </c>
    </row>
    <row r="149" spans="1:4" x14ac:dyDescent="0.25">
      <c r="A149" t="s">
        <v>108</v>
      </c>
      <c r="B149" t="s">
        <v>65</v>
      </c>
      <c r="C149" t="s">
        <v>493</v>
      </c>
      <c r="D149">
        <v>-1</v>
      </c>
    </row>
    <row r="150" spans="1:4" x14ac:dyDescent="0.25">
      <c r="A150" t="s">
        <v>108</v>
      </c>
      <c r="B150" t="s">
        <v>65</v>
      </c>
      <c r="C150" t="s">
        <v>496</v>
      </c>
      <c r="D150">
        <v>-1</v>
      </c>
    </row>
    <row r="151" spans="1:4" x14ac:dyDescent="0.25">
      <c r="A151" t="s">
        <v>108</v>
      </c>
      <c r="B151" t="s">
        <v>65</v>
      </c>
      <c r="C151" t="s">
        <v>499</v>
      </c>
      <c r="D151">
        <v>-1</v>
      </c>
    </row>
    <row r="152" spans="1:4" x14ac:dyDescent="0.25">
      <c r="A152" t="s">
        <v>108</v>
      </c>
      <c r="B152" t="s">
        <v>109</v>
      </c>
      <c r="C152" t="s">
        <v>479</v>
      </c>
      <c r="D152">
        <v>1</v>
      </c>
    </row>
    <row r="153" spans="1:4" x14ac:dyDescent="0.25">
      <c r="A153" t="s">
        <v>108</v>
      </c>
      <c r="B153" t="s">
        <v>109</v>
      </c>
      <c r="C153" t="s">
        <v>481</v>
      </c>
      <c r="D153">
        <v>1</v>
      </c>
    </row>
    <row r="154" spans="1:4" x14ac:dyDescent="0.25">
      <c r="A154" t="s">
        <v>108</v>
      </c>
      <c r="B154" t="s">
        <v>109</v>
      </c>
      <c r="C154" t="s">
        <v>491</v>
      </c>
      <c r="D154">
        <v>1</v>
      </c>
    </row>
    <row r="155" spans="1:4" x14ac:dyDescent="0.25">
      <c r="A155" t="s">
        <v>108</v>
      </c>
      <c r="B155" t="s">
        <v>109</v>
      </c>
      <c r="C155" t="s">
        <v>492</v>
      </c>
      <c r="D155">
        <v>1</v>
      </c>
    </row>
    <row r="156" spans="1:4" x14ac:dyDescent="0.25">
      <c r="A156" t="s">
        <v>108</v>
      </c>
      <c r="B156" t="s">
        <v>109</v>
      </c>
      <c r="C156" t="s">
        <v>483</v>
      </c>
      <c r="D156">
        <v>1</v>
      </c>
    </row>
    <row r="157" spans="1:4" x14ac:dyDescent="0.25">
      <c r="A157" t="s">
        <v>108</v>
      </c>
      <c r="B157" t="s">
        <v>109</v>
      </c>
      <c r="C157" t="s">
        <v>486</v>
      </c>
      <c r="D157">
        <v>1</v>
      </c>
    </row>
    <row r="158" spans="1:4" x14ac:dyDescent="0.25">
      <c r="A158" t="s">
        <v>108</v>
      </c>
      <c r="B158" t="s">
        <v>109</v>
      </c>
      <c r="C158" t="s">
        <v>487</v>
      </c>
      <c r="D158">
        <v>1</v>
      </c>
    </row>
    <row r="159" spans="1:4" x14ac:dyDescent="0.25">
      <c r="A159" t="s">
        <v>108</v>
      </c>
      <c r="B159" t="s">
        <v>109</v>
      </c>
      <c r="C159" t="s">
        <v>493</v>
      </c>
      <c r="D159">
        <v>1</v>
      </c>
    </row>
    <row r="160" spans="1:4" x14ac:dyDescent="0.25">
      <c r="A160" t="s">
        <v>108</v>
      </c>
      <c r="B160" t="s">
        <v>109</v>
      </c>
      <c r="C160" t="s">
        <v>496</v>
      </c>
      <c r="D160">
        <v>1</v>
      </c>
    </row>
    <row r="161" spans="1:4" x14ac:dyDescent="0.25">
      <c r="A161" t="s">
        <v>108</v>
      </c>
      <c r="B161" t="s">
        <v>109</v>
      </c>
      <c r="C161" t="s">
        <v>499</v>
      </c>
      <c r="D161">
        <v>1</v>
      </c>
    </row>
    <row r="162" spans="1:4" x14ac:dyDescent="0.25">
      <c r="A162" t="s">
        <v>110</v>
      </c>
      <c r="B162" t="s">
        <v>66</v>
      </c>
      <c r="C162" t="s">
        <v>479</v>
      </c>
      <c r="D162">
        <v>-1</v>
      </c>
    </row>
    <row r="163" spans="1:4" x14ac:dyDescent="0.25">
      <c r="A163" t="s">
        <v>110</v>
      </c>
      <c r="B163" t="s">
        <v>66</v>
      </c>
      <c r="C163" t="s">
        <v>481</v>
      </c>
      <c r="D163">
        <v>-1</v>
      </c>
    </row>
    <row r="164" spans="1:4" x14ac:dyDescent="0.25">
      <c r="A164" t="s">
        <v>110</v>
      </c>
      <c r="B164" t="s">
        <v>66</v>
      </c>
      <c r="C164" t="s">
        <v>491</v>
      </c>
      <c r="D164">
        <v>-1</v>
      </c>
    </row>
    <row r="165" spans="1:4" x14ac:dyDescent="0.25">
      <c r="A165" t="s">
        <v>110</v>
      </c>
      <c r="B165" t="s">
        <v>66</v>
      </c>
      <c r="C165" t="s">
        <v>492</v>
      </c>
      <c r="D165">
        <v>-1</v>
      </c>
    </row>
    <row r="166" spans="1:4" x14ac:dyDescent="0.25">
      <c r="A166" t="s">
        <v>110</v>
      </c>
      <c r="B166" t="s">
        <v>66</v>
      </c>
      <c r="C166" t="s">
        <v>483</v>
      </c>
      <c r="D166">
        <v>-1</v>
      </c>
    </row>
    <row r="167" spans="1:4" x14ac:dyDescent="0.25">
      <c r="A167" t="s">
        <v>110</v>
      </c>
      <c r="B167" t="s">
        <v>66</v>
      </c>
      <c r="C167" t="s">
        <v>486</v>
      </c>
      <c r="D167">
        <v>-1</v>
      </c>
    </row>
    <row r="168" spans="1:4" x14ac:dyDescent="0.25">
      <c r="A168" t="s">
        <v>110</v>
      </c>
      <c r="B168" t="s">
        <v>66</v>
      </c>
      <c r="C168" t="s">
        <v>487</v>
      </c>
      <c r="D168">
        <v>-1</v>
      </c>
    </row>
    <row r="169" spans="1:4" x14ac:dyDescent="0.25">
      <c r="A169" t="s">
        <v>110</v>
      </c>
      <c r="B169" t="s">
        <v>66</v>
      </c>
      <c r="C169" t="s">
        <v>493</v>
      </c>
      <c r="D169">
        <v>-1</v>
      </c>
    </row>
    <row r="170" spans="1:4" x14ac:dyDescent="0.25">
      <c r="A170" t="s">
        <v>110</v>
      </c>
      <c r="B170" t="s">
        <v>66</v>
      </c>
      <c r="C170" t="s">
        <v>496</v>
      </c>
      <c r="D170">
        <v>-1</v>
      </c>
    </row>
    <row r="171" spans="1:4" x14ac:dyDescent="0.25">
      <c r="A171" t="s">
        <v>110</v>
      </c>
      <c r="B171" t="s">
        <v>66</v>
      </c>
      <c r="C171" t="s">
        <v>499</v>
      </c>
      <c r="D171">
        <v>-1</v>
      </c>
    </row>
    <row r="172" spans="1:4" x14ac:dyDescent="0.25">
      <c r="A172" t="s">
        <v>110</v>
      </c>
      <c r="B172" t="s">
        <v>92</v>
      </c>
      <c r="C172" t="s">
        <v>479</v>
      </c>
      <c r="D172">
        <v>0.86399999999999999</v>
      </c>
    </row>
    <row r="173" spans="1:4" x14ac:dyDescent="0.25">
      <c r="A173" t="s">
        <v>110</v>
      </c>
      <c r="B173" t="s">
        <v>92</v>
      </c>
      <c r="C173" t="s">
        <v>481</v>
      </c>
      <c r="D173">
        <v>0.79200000000000004</v>
      </c>
    </row>
    <row r="174" spans="1:4" x14ac:dyDescent="0.25">
      <c r="A174" t="s">
        <v>110</v>
      </c>
      <c r="B174" t="s">
        <v>92</v>
      </c>
      <c r="C174" t="s">
        <v>491</v>
      </c>
      <c r="D174">
        <v>0.79200000000000004</v>
      </c>
    </row>
    <row r="175" spans="1:4" x14ac:dyDescent="0.25">
      <c r="A175" t="s">
        <v>110</v>
      </c>
      <c r="B175" t="s">
        <v>92</v>
      </c>
      <c r="C175" t="s">
        <v>492</v>
      </c>
      <c r="D175">
        <v>0.79200000000000004</v>
      </c>
    </row>
    <row r="176" spans="1:4" x14ac:dyDescent="0.25">
      <c r="A176" t="s">
        <v>110</v>
      </c>
      <c r="B176" t="s">
        <v>92</v>
      </c>
      <c r="C176" t="s">
        <v>483</v>
      </c>
      <c r="D176">
        <v>0.72</v>
      </c>
    </row>
    <row r="177" spans="1:4" x14ac:dyDescent="0.25">
      <c r="A177" t="s">
        <v>110</v>
      </c>
      <c r="B177" t="s">
        <v>92</v>
      </c>
      <c r="C177" t="s">
        <v>486</v>
      </c>
      <c r="D177">
        <v>0.72</v>
      </c>
    </row>
    <row r="178" spans="1:4" x14ac:dyDescent="0.25">
      <c r="A178" t="s">
        <v>110</v>
      </c>
      <c r="B178" t="s">
        <v>92</v>
      </c>
      <c r="C178" t="s">
        <v>487</v>
      </c>
      <c r="D178">
        <v>0.72</v>
      </c>
    </row>
    <row r="179" spans="1:4" x14ac:dyDescent="0.25">
      <c r="A179" t="s">
        <v>110</v>
      </c>
      <c r="B179" t="s">
        <v>92</v>
      </c>
      <c r="C179" t="s">
        <v>493</v>
      </c>
      <c r="D179">
        <v>0.72</v>
      </c>
    </row>
    <row r="180" spans="1:4" x14ac:dyDescent="0.25">
      <c r="A180" t="s">
        <v>110</v>
      </c>
      <c r="B180" t="s">
        <v>92</v>
      </c>
      <c r="C180" t="s">
        <v>496</v>
      </c>
      <c r="D180">
        <v>0.72</v>
      </c>
    </row>
    <row r="181" spans="1:4" x14ac:dyDescent="0.25">
      <c r="A181" t="s">
        <v>110</v>
      </c>
      <c r="B181" t="s">
        <v>92</v>
      </c>
      <c r="C181" t="s">
        <v>499</v>
      </c>
      <c r="D181">
        <v>0.72</v>
      </c>
    </row>
    <row r="182" spans="1:4" x14ac:dyDescent="0.25">
      <c r="A182" t="s">
        <v>111</v>
      </c>
      <c r="B182" t="s">
        <v>66</v>
      </c>
      <c r="C182" t="s">
        <v>479</v>
      </c>
      <c r="D182">
        <v>-1</v>
      </c>
    </row>
    <row r="183" spans="1:4" x14ac:dyDescent="0.25">
      <c r="A183" t="s">
        <v>111</v>
      </c>
      <c r="B183" t="s">
        <v>66</v>
      </c>
      <c r="C183" t="s">
        <v>481</v>
      </c>
      <c r="D183">
        <v>-1</v>
      </c>
    </row>
    <row r="184" spans="1:4" x14ac:dyDescent="0.25">
      <c r="A184" t="s">
        <v>111</v>
      </c>
      <c r="B184" t="s">
        <v>66</v>
      </c>
      <c r="C184" t="s">
        <v>491</v>
      </c>
      <c r="D184">
        <v>-1</v>
      </c>
    </row>
    <row r="185" spans="1:4" x14ac:dyDescent="0.25">
      <c r="A185" t="s">
        <v>111</v>
      </c>
      <c r="B185" t="s">
        <v>66</v>
      </c>
      <c r="C185" t="s">
        <v>492</v>
      </c>
      <c r="D185">
        <v>-1</v>
      </c>
    </row>
    <row r="186" spans="1:4" x14ac:dyDescent="0.25">
      <c r="A186" t="s">
        <v>111</v>
      </c>
      <c r="B186" t="s">
        <v>66</v>
      </c>
      <c r="C186" t="s">
        <v>483</v>
      </c>
      <c r="D186">
        <v>-1</v>
      </c>
    </row>
    <row r="187" spans="1:4" x14ac:dyDescent="0.25">
      <c r="A187" t="s">
        <v>111</v>
      </c>
      <c r="B187" t="s">
        <v>66</v>
      </c>
      <c r="C187" t="s">
        <v>486</v>
      </c>
      <c r="D187">
        <v>-1</v>
      </c>
    </row>
    <row r="188" spans="1:4" x14ac:dyDescent="0.25">
      <c r="A188" t="s">
        <v>111</v>
      </c>
      <c r="B188" t="s">
        <v>66</v>
      </c>
      <c r="C188" t="s">
        <v>487</v>
      </c>
      <c r="D188">
        <v>-1</v>
      </c>
    </row>
    <row r="189" spans="1:4" x14ac:dyDescent="0.25">
      <c r="A189" t="s">
        <v>111</v>
      </c>
      <c r="B189" t="s">
        <v>66</v>
      </c>
      <c r="C189" t="s">
        <v>493</v>
      </c>
      <c r="D189">
        <v>-1</v>
      </c>
    </row>
    <row r="190" spans="1:4" x14ac:dyDescent="0.25">
      <c r="A190" t="s">
        <v>111</v>
      </c>
      <c r="B190" t="s">
        <v>66</v>
      </c>
      <c r="C190" t="s">
        <v>496</v>
      </c>
      <c r="D190">
        <v>-1</v>
      </c>
    </row>
    <row r="191" spans="1:4" x14ac:dyDescent="0.25">
      <c r="A191" t="s">
        <v>111</v>
      </c>
      <c r="B191" t="s">
        <v>66</v>
      </c>
      <c r="C191" t="s">
        <v>499</v>
      </c>
      <c r="D191">
        <v>-1</v>
      </c>
    </row>
    <row r="192" spans="1:4" x14ac:dyDescent="0.25">
      <c r="A192" t="s">
        <v>111</v>
      </c>
      <c r="B192" t="s">
        <v>112</v>
      </c>
      <c r="C192" t="s">
        <v>479</v>
      </c>
      <c r="D192">
        <v>1</v>
      </c>
    </row>
    <row r="193" spans="1:4" x14ac:dyDescent="0.25">
      <c r="A193" t="s">
        <v>111</v>
      </c>
      <c r="B193" t="s">
        <v>112</v>
      </c>
      <c r="C193" t="s">
        <v>481</v>
      </c>
      <c r="D193">
        <v>1</v>
      </c>
    </row>
    <row r="194" spans="1:4" x14ac:dyDescent="0.25">
      <c r="A194" t="s">
        <v>111</v>
      </c>
      <c r="B194" t="s">
        <v>112</v>
      </c>
      <c r="C194" t="s">
        <v>491</v>
      </c>
      <c r="D194">
        <v>1</v>
      </c>
    </row>
    <row r="195" spans="1:4" x14ac:dyDescent="0.25">
      <c r="A195" t="s">
        <v>111</v>
      </c>
      <c r="B195" t="s">
        <v>112</v>
      </c>
      <c r="C195" t="s">
        <v>492</v>
      </c>
      <c r="D195">
        <v>1</v>
      </c>
    </row>
    <row r="196" spans="1:4" x14ac:dyDescent="0.25">
      <c r="A196" t="s">
        <v>111</v>
      </c>
      <c r="B196" t="s">
        <v>112</v>
      </c>
      <c r="C196" t="s">
        <v>483</v>
      </c>
      <c r="D196">
        <v>1</v>
      </c>
    </row>
    <row r="197" spans="1:4" x14ac:dyDescent="0.25">
      <c r="A197" t="s">
        <v>111</v>
      </c>
      <c r="B197" t="s">
        <v>112</v>
      </c>
      <c r="C197" t="s">
        <v>486</v>
      </c>
      <c r="D197">
        <v>1</v>
      </c>
    </row>
    <row r="198" spans="1:4" x14ac:dyDescent="0.25">
      <c r="A198" t="s">
        <v>111</v>
      </c>
      <c r="B198" t="s">
        <v>112</v>
      </c>
      <c r="C198" t="s">
        <v>487</v>
      </c>
      <c r="D198">
        <v>1</v>
      </c>
    </row>
    <row r="199" spans="1:4" x14ac:dyDescent="0.25">
      <c r="A199" t="s">
        <v>111</v>
      </c>
      <c r="B199" t="s">
        <v>112</v>
      </c>
      <c r="C199" t="s">
        <v>493</v>
      </c>
      <c r="D199">
        <v>1</v>
      </c>
    </row>
    <row r="200" spans="1:4" x14ac:dyDescent="0.25">
      <c r="A200" t="s">
        <v>111</v>
      </c>
      <c r="B200" t="s">
        <v>112</v>
      </c>
      <c r="C200" t="s">
        <v>496</v>
      </c>
      <c r="D200">
        <v>1</v>
      </c>
    </row>
    <row r="201" spans="1:4" x14ac:dyDescent="0.25">
      <c r="A201" t="s">
        <v>111</v>
      </c>
      <c r="B201" t="s">
        <v>112</v>
      </c>
      <c r="C201" t="s">
        <v>499</v>
      </c>
      <c r="D201">
        <v>1</v>
      </c>
    </row>
    <row r="202" spans="1:4" x14ac:dyDescent="0.25">
      <c r="A202" t="s">
        <v>68</v>
      </c>
      <c r="B202" t="s">
        <v>69</v>
      </c>
      <c r="C202" t="s">
        <v>479</v>
      </c>
      <c r="D202">
        <v>-35.6</v>
      </c>
    </row>
    <row r="203" spans="1:4" x14ac:dyDescent="0.25">
      <c r="A203" t="s">
        <v>68</v>
      </c>
      <c r="B203" t="s">
        <v>63</v>
      </c>
      <c r="C203" t="s">
        <v>479</v>
      </c>
      <c r="D203">
        <v>38.799999999999997</v>
      </c>
    </row>
    <row r="204" spans="1:4" x14ac:dyDescent="0.25">
      <c r="A204" t="s">
        <v>68</v>
      </c>
      <c r="B204" t="s">
        <v>64</v>
      </c>
      <c r="C204" t="s">
        <v>479</v>
      </c>
      <c r="D204">
        <v>122.1</v>
      </c>
    </row>
    <row r="205" spans="1:4" x14ac:dyDescent="0.25">
      <c r="A205" t="s">
        <v>68</v>
      </c>
      <c r="B205" t="s">
        <v>24</v>
      </c>
      <c r="C205" t="s">
        <v>479</v>
      </c>
      <c r="D205">
        <v>78</v>
      </c>
    </row>
    <row r="206" spans="1:4" x14ac:dyDescent="0.25">
      <c r="A206" t="s">
        <v>68</v>
      </c>
      <c r="B206" t="s">
        <v>22</v>
      </c>
      <c r="C206" t="s">
        <v>479</v>
      </c>
      <c r="D206">
        <v>0.05</v>
      </c>
    </row>
    <row r="207" spans="1:4" x14ac:dyDescent="0.25">
      <c r="A207" t="s">
        <v>68</v>
      </c>
      <c r="B207" t="s">
        <v>70</v>
      </c>
      <c r="C207" t="s">
        <v>479</v>
      </c>
      <c r="D207">
        <v>3.15</v>
      </c>
    </row>
    <row r="208" spans="1:4" x14ac:dyDescent="0.25">
      <c r="A208" t="s">
        <v>68</v>
      </c>
      <c r="B208" t="s">
        <v>615</v>
      </c>
      <c r="C208" t="s">
        <v>479</v>
      </c>
      <c r="D208">
        <v>0.32</v>
      </c>
    </row>
    <row r="209" spans="1:4" x14ac:dyDescent="0.25">
      <c r="A209" t="s">
        <v>68</v>
      </c>
      <c r="B209" t="s">
        <v>67</v>
      </c>
      <c r="C209" t="s">
        <v>479</v>
      </c>
      <c r="D209">
        <v>6.38</v>
      </c>
    </row>
    <row r="210" spans="1:4" x14ac:dyDescent="0.25">
      <c r="A210" t="s">
        <v>113</v>
      </c>
      <c r="B210" t="s">
        <v>70</v>
      </c>
      <c r="C210" t="s">
        <v>479</v>
      </c>
      <c r="D210">
        <v>-1</v>
      </c>
    </row>
    <row r="211" spans="1:4" x14ac:dyDescent="0.25">
      <c r="A211" t="s">
        <v>113</v>
      </c>
      <c r="B211" t="s">
        <v>70</v>
      </c>
      <c r="C211" t="s">
        <v>481</v>
      </c>
      <c r="D211">
        <v>-1</v>
      </c>
    </row>
    <row r="212" spans="1:4" x14ac:dyDescent="0.25">
      <c r="A212" t="s">
        <v>113</v>
      </c>
      <c r="B212" t="s">
        <v>70</v>
      </c>
      <c r="C212" t="s">
        <v>491</v>
      </c>
      <c r="D212">
        <v>-1</v>
      </c>
    </row>
    <row r="213" spans="1:4" x14ac:dyDescent="0.25">
      <c r="A213" t="s">
        <v>113</v>
      </c>
      <c r="B213" t="s">
        <v>70</v>
      </c>
      <c r="C213" t="s">
        <v>492</v>
      </c>
      <c r="D213">
        <v>-1</v>
      </c>
    </row>
    <row r="214" spans="1:4" x14ac:dyDescent="0.25">
      <c r="A214" t="s">
        <v>113</v>
      </c>
      <c r="B214" t="s">
        <v>70</v>
      </c>
      <c r="C214" t="s">
        <v>483</v>
      </c>
      <c r="D214">
        <v>-1</v>
      </c>
    </row>
    <row r="215" spans="1:4" x14ac:dyDescent="0.25">
      <c r="A215" t="s">
        <v>113</v>
      </c>
      <c r="B215" t="s">
        <v>70</v>
      </c>
      <c r="C215" t="s">
        <v>486</v>
      </c>
      <c r="D215">
        <v>-1</v>
      </c>
    </row>
    <row r="216" spans="1:4" x14ac:dyDescent="0.25">
      <c r="A216" t="s">
        <v>113</v>
      </c>
      <c r="B216" t="s">
        <v>70</v>
      </c>
      <c r="C216" t="s">
        <v>487</v>
      </c>
      <c r="D216">
        <v>-1</v>
      </c>
    </row>
    <row r="217" spans="1:4" x14ac:dyDescent="0.25">
      <c r="A217" t="s">
        <v>113</v>
      </c>
      <c r="B217" t="s">
        <v>70</v>
      </c>
      <c r="C217" t="s">
        <v>493</v>
      </c>
      <c r="D217">
        <v>-1</v>
      </c>
    </row>
    <row r="218" spans="1:4" x14ac:dyDescent="0.25">
      <c r="A218" t="s">
        <v>113</v>
      </c>
      <c r="B218" t="s">
        <v>70</v>
      </c>
      <c r="C218" t="s">
        <v>496</v>
      </c>
      <c r="D218">
        <v>-1</v>
      </c>
    </row>
    <row r="219" spans="1:4" x14ac:dyDescent="0.25">
      <c r="A219" t="s">
        <v>113</v>
      </c>
      <c r="B219" t="s">
        <v>70</v>
      </c>
      <c r="C219" t="s">
        <v>499</v>
      </c>
      <c r="D219">
        <v>-1</v>
      </c>
    </row>
    <row r="220" spans="1:4" x14ac:dyDescent="0.25">
      <c r="A220" t="s">
        <v>113</v>
      </c>
      <c r="B220" t="s">
        <v>92</v>
      </c>
      <c r="C220" t="s">
        <v>479</v>
      </c>
      <c r="D220">
        <v>5.7</v>
      </c>
    </row>
    <row r="221" spans="1:4" x14ac:dyDescent="0.25">
      <c r="A221" t="s">
        <v>113</v>
      </c>
      <c r="B221" t="s">
        <v>92</v>
      </c>
      <c r="C221" t="s">
        <v>481</v>
      </c>
      <c r="D221">
        <v>5.7</v>
      </c>
    </row>
    <row r="222" spans="1:4" x14ac:dyDescent="0.25">
      <c r="A222" t="s">
        <v>113</v>
      </c>
      <c r="B222" t="s">
        <v>92</v>
      </c>
      <c r="C222" t="s">
        <v>491</v>
      </c>
      <c r="D222">
        <v>5.7</v>
      </c>
    </row>
    <row r="223" spans="1:4" x14ac:dyDescent="0.25">
      <c r="A223" t="s">
        <v>113</v>
      </c>
      <c r="B223" t="s">
        <v>92</v>
      </c>
      <c r="C223" t="s">
        <v>492</v>
      </c>
      <c r="D223">
        <v>5.7</v>
      </c>
    </row>
    <row r="224" spans="1:4" x14ac:dyDescent="0.25">
      <c r="A224" t="s">
        <v>113</v>
      </c>
      <c r="B224" t="s">
        <v>92</v>
      </c>
      <c r="C224" t="s">
        <v>483</v>
      </c>
      <c r="D224">
        <v>5.7</v>
      </c>
    </row>
    <row r="225" spans="1:4" x14ac:dyDescent="0.25">
      <c r="A225" t="s">
        <v>113</v>
      </c>
      <c r="B225" t="s">
        <v>92</v>
      </c>
      <c r="C225" t="s">
        <v>486</v>
      </c>
      <c r="D225">
        <v>5.7</v>
      </c>
    </row>
    <row r="226" spans="1:4" x14ac:dyDescent="0.25">
      <c r="A226" t="s">
        <v>113</v>
      </c>
      <c r="B226" t="s">
        <v>92</v>
      </c>
      <c r="C226" t="s">
        <v>487</v>
      </c>
      <c r="D226">
        <v>5.7</v>
      </c>
    </row>
    <row r="227" spans="1:4" x14ac:dyDescent="0.25">
      <c r="A227" t="s">
        <v>113</v>
      </c>
      <c r="B227" t="s">
        <v>92</v>
      </c>
      <c r="C227" t="s">
        <v>493</v>
      </c>
      <c r="D227">
        <v>5.7</v>
      </c>
    </row>
    <row r="228" spans="1:4" x14ac:dyDescent="0.25">
      <c r="A228" t="s">
        <v>113</v>
      </c>
      <c r="B228" t="s">
        <v>92</v>
      </c>
      <c r="C228" t="s">
        <v>496</v>
      </c>
      <c r="D228">
        <v>5.7</v>
      </c>
    </row>
    <row r="229" spans="1:4" x14ac:dyDescent="0.25">
      <c r="A229" t="s">
        <v>113</v>
      </c>
      <c r="B229" t="s">
        <v>92</v>
      </c>
      <c r="C229" t="s">
        <v>499</v>
      </c>
      <c r="D229">
        <v>5.7</v>
      </c>
    </row>
    <row r="230" spans="1:4" x14ac:dyDescent="0.25">
      <c r="A230" t="s">
        <v>114</v>
      </c>
      <c r="B230" t="s">
        <v>70</v>
      </c>
      <c r="C230" t="s">
        <v>479</v>
      </c>
      <c r="D230">
        <v>-1</v>
      </c>
    </row>
    <row r="231" spans="1:4" x14ac:dyDescent="0.25">
      <c r="A231" t="s">
        <v>114</v>
      </c>
      <c r="B231" t="s">
        <v>70</v>
      </c>
      <c r="C231" t="s">
        <v>481</v>
      </c>
      <c r="D231">
        <v>-1</v>
      </c>
    </row>
    <row r="232" spans="1:4" x14ac:dyDescent="0.25">
      <c r="A232" t="s">
        <v>114</v>
      </c>
      <c r="B232" t="s">
        <v>70</v>
      </c>
      <c r="C232" t="s">
        <v>491</v>
      </c>
      <c r="D232">
        <v>-1</v>
      </c>
    </row>
    <row r="233" spans="1:4" x14ac:dyDescent="0.25">
      <c r="A233" t="s">
        <v>114</v>
      </c>
      <c r="B233" t="s">
        <v>70</v>
      </c>
      <c r="C233" t="s">
        <v>492</v>
      </c>
      <c r="D233">
        <v>-1</v>
      </c>
    </row>
    <row r="234" spans="1:4" x14ac:dyDescent="0.25">
      <c r="A234" t="s">
        <v>114</v>
      </c>
      <c r="B234" t="s">
        <v>70</v>
      </c>
      <c r="C234" t="s">
        <v>483</v>
      </c>
      <c r="D234">
        <v>-1</v>
      </c>
    </row>
    <row r="235" spans="1:4" x14ac:dyDescent="0.25">
      <c r="A235" t="s">
        <v>114</v>
      </c>
      <c r="B235" t="s">
        <v>70</v>
      </c>
      <c r="C235" t="s">
        <v>486</v>
      </c>
      <c r="D235">
        <v>-1</v>
      </c>
    </row>
    <row r="236" spans="1:4" x14ac:dyDescent="0.25">
      <c r="A236" t="s">
        <v>114</v>
      </c>
      <c r="B236" t="s">
        <v>70</v>
      </c>
      <c r="C236" t="s">
        <v>487</v>
      </c>
      <c r="D236">
        <v>-1</v>
      </c>
    </row>
    <row r="237" spans="1:4" x14ac:dyDescent="0.25">
      <c r="A237" t="s">
        <v>114</v>
      </c>
      <c r="B237" t="s">
        <v>70</v>
      </c>
      <c r="C237" t="s">
        <v>493</v>
      </c>
      <c r="D237">
        <v>-1</v>
      </c>
    </row>
    <row r="238" spans="1:4" x14ac:dyDescent="0.25">
      <c r="A238" t="s">
        <v>114</v>
      </c>
      <c r="B238" t="s">
        <v>70</v>
      </c>
      <c r="C238" t="s">
        <v>496</v>
      </c>
      <c r="D238">
        <v>-1</v>
      </c>
    </row>
    <row r="239" spans="1:4" x14ac:dyDescent="0.25">
      <c r="A239" t="s">
        <v>114</v>
      </c>
      <c r="B239" t="s">
        <v>70</v>
      </c>
      <c r="C239" t="s">
        <v>499</v>
      </c>
      <c r="D239">
        <v>-1</v>
      </c>
    </row>
    <row r="240" spans="1:4" x14ac:dyDescent="0.25">
      <c r="A240" t="s">
        <v>114</v>
      </c>
      <c r="B240" t="s">
        <v>115</v>
      </c>
      <c r="C240" t="s">
        <v>479</v>
      </c>
      <c r="D240">
        <v>1</v>
      </c>
    </row>
    <row r="241" spans="1:4" x14ac:dyDescent="0.25">
      <c r="A241" t="s">
        <v>114</v>
      </c>
      <c r="B241" t="s">
        <v>115</v>
      </c>
      <c r="C241" t="s">
        <v>481</v>
      </c>
      <c r="D241">
        <v>1</v>
      </c>
    </row>
    <row r="242" spans="1:4" x14ac:dyDescent="0.25">
      <c r="A242" t="s">
        <v>114</v>
      </c>
      <c r="B242" t="s">
        <v>115</v>
      </c>
      <c r="C242" t="s">
        <v>491</v>
      </c>
      <c r="D242">
        <v>1</v>
      </c>
    </row>
    <row r="243" spans="1:4" x14ac:dyDescent="0.25">
      <c r="A243" t="s">
        <v>114</v>
      </c>
      <c r="B243" t="s">
        <v>115</v>
      </c>
      <c r="C243" t="s">
        <v>492</v>
      </c>
      <c r="D243">
        <v>1</v>
      </c>
    </row>
    <row r="244" spans="1:4" x14ac:dyDescent="0.25">
      <c r="A244" t="s">
        <v>114</v>
      </c>
      <c r="B244" t="s">
        <v>115</v>
      </c>
      <c r="C244" t="s">
        <v>483</v>
      </c>
      <c r="D244">
        <v>1</v>
      </c>
    </row>
    <row r="245" spans="1:4" x14ac:dyDescent="0.25">
      <c r="A245" t="s">
        <v>114</v>
      </c>
      <c r="B245" t="s">
        <v>115</v>
      </c>
      <c r="C245" t="s">
        <v>486</v>
      </c>
      <c r="D245">
        <v>1</v>
      </c>
    </row>
    <row r="246" spans="1:4" x14ac:dyDescent="0.25">
      <c r="A246" t="s">
        <v>114</v>
      </c>
      <c r="B246" t="s">
        <v>115</v>
      </c>
      <c r="C246" t="s">
        <v>487</v>
      </c>
      <c r="D246">
        <v>1</v>
      </c>
    </row>
    <row r="247" spans="1:4" x14ac:dyDescent="0.25">
      <c r="A247" t="s">
        <v>114</v>
      </c>
      <c r="B247" t="s">
        <v>115</v>
      </c>
      <c r="C247" t="s">
        <v>493</v>
      </c>
      <c r="D247">
        <v>1</v>
      </c>
    </row>
    <row r="248" spans="1:4" x14ac:dyDescent="0.25">
      <c r="A248" t="s">
        <v>114</v>
      </c>
      <c r="B248" t="s">
        <v>115</v>
      </c>
      <c r="C248" t="s">
        <v>496</v>
      </c>
      <c r="D248">
        <v>1</v>
      </c>
    </row>
    <row r="249" spans="1:4" x14ac:dyDescent="0.25">
      <c r="A249" t="s">
        <v>114</v>
      </c>
      <c r="B249" t="s">
        <v>115</v>
      </c>
      <c r="C249" t="s">
        <v>499</v>
      </c>
      <c r="D249">
        <v>1</v>
      </c>
    </row>
    <row r="250" spans="1:4" x14ac:dyDescent="0.25">
      <c r="A250" t="s">
        <v>71</v>
      </c>
      <c r="B250" t="s">
        <v>62</v>
      </c>
      <c r="C250" t="s">
        <v>479</v>
      </c>
      <c r="D250">
        <v>-0.27500000000000002</v>
      </c>
    </row>
    <row r="251" spans="1:4" x14ac:dyDescent="0.25">
      <c r="A251" t="s">
        <v>71</v>
      </c>
      <c r="B251" t="s">
        <v>62</v>
      </c>
      <c r="C251" t="s">
        <v>481</v>
      </c>
      <c r="D251">
        <v>-0.27500000000000002</v>
      </c>
    </row>
    <row r="252" spans="1:4" x14ac:dyDescent="0.25">
      <c r="A252" t="s">
        <v>71</v>
      </c>
      <c r="B252" t="s">
        <v>62</v>
      </c>
      <c r="C252" t="s">
        <v>491</v>
      </c>
      <c r="D252">
        <v>-0.27500000000000002</v>
      </c>
    </row>
    <row r="253" spans="1:4" x14ac:dyDescent="0.25">
      <c r="A253" t="s">
        <v>71</v>
      </c>
      <c r="B253" t="s">
        <v>62</v>
      </c>
      <c r="C253" t="s">
        <v>492</v>
      </c>
      <c r="D253">
        <v>-0.27500000000000002</v>
      </c>
    </row>
    <row r="254" spans="1:4" x14ac:dyDescent="0.25">
      <c r="A254" t="s">
        <v>71</v>
      </c>
      <c r="B254" t="s">
        <v>62</v>
      </c>
      <c r="C254" t="s">
        <v>483</v>
      </c>
      <c r="D254">
        <v>-0.27500000000000002</v>
      </c>
    </row>
    <row r="255" spans="1:4" x14ac:dyDescent="0.25">
      <c r="A255" t="s">
        <v>71</v>
      </c>
      <c r="B255" t="s">
        <v>62</v>
      </c>
      <c r="C255" t="s">
        <v>493</v>
      </c>
      <c r="D255">
        <v>-0.27500000000000002</v>
      </c>
    </row>
    <row r="256" spans="1:4" x14ac:dyDescent="0.25">
      <c r="A256" t="s">
        <v>71</v>
      </c>
      <c r="B256" t="s">
        <v>62</v>
      </c>
      <c r="C256" t="s">
        <v>486</v>
      </c>
      <c r="D256">
        <v>-0.27500000000000002</v>
      </c>
    </row>
    <row r="257" spans="1:4" x14ac:dyDescent="0.25">
      <c r="A257" t="s">
        <v>71</v>
      </c>
      <c r="B257" t="s">
        <v>62</v>
      </c>
      <c r="C257" t="s">
        <v>487</v>
      </c>
      <c r="D257">
        <v>-0.27500000000000002</v>
      </c>
    </row>
    <row r="258" spans="1:4" x14ac:dyDescent="0.25">
      <c r="A258" t="s">
        <v>71</v>
      </c>
      <c r="B258" t="s">
        <v>62</v>
      </c>
      <c r="C258" t="s">
        <v>496</v>
      </c>
      <c r="D258">
        <v>-0.27500000000000002</v>
      </c>
    </row>
    <row r="259" spans="1:4" x14ac:dyDescent="0.25">
      <c r="A259" t="s">
        <v>71</v>
      </c>
      <c r="B259" t="s">
        <v>62</v>
      </c>
      <c r="C259" t="s">
        <v>499</v>
      </c>
      <c r="D259">
        <v>-0.27500000000000002</v>
      </c>
    </row>
    <row r="260" spans="1:4" x14ac:dyDescent="0.25">
      <c r="A260" t="s">
        <v>71</v>
      </c>
      <c r="B260" t="s">
        <v>72</v>
      </c>
      <c r="C260" t="s">
        <v>479</v>
      </c>
      <c r="D260">
        <v>1</v>
      </c>
    </row>
    <row r="261" spans="1:4" x14ac:dyDescent="0.25">
      <c r="A261" t="s">
        <v>71</v>
      </c>
      <c r="B261" t="s">
        <v>72</v>
      </c>
      <c r="C261" t="s">
        <v>481</v>
      </c>
      <c r="D261">
        <v>1</v>
      </c>
    </row>
    <row r="262" spans="1:4" x14ac:dyDescent="0.25">
      <c r="A262" t="s">
        <v>71</v>
      </c>
      <c r="B262" t="s">
        <v>72</v>
      </c>
      <c r="C262" t="s">
        <v>491</v>
      </c>
      <c r="D262">
        <v>1</v>
      </c>
    </row>
    <row r="263" spans="1:4" x14ac:dyDescent="0.25">
      <c r="A263" t="s">
        <v>71</v>
      </c>
      <c r="B263" t="s">
        <v>72</v>
      </c>
      <c r="C263" t="s">
        <v>492</v>
      </c>
      <c r="D263">
        <v>1</v>
      </c>
    </row>
    <row r="264" spans="1:4" x14ac:dyDescent="0.25">
      <c r="A264" t="s">
        <v>71</v>
      </c>
      <c r="B264" t="s">
        <v>72</v>
      </c>
      <c r="C264" t="s">
        <v>483</v>
      </c>
      <c r="D264">
        <v>1</v>
      </c>
    </row>
    <row r="265" spans="1:4" x14ac:dyDescent="0.25">
      <c r="A265" t="s">
        <v>71</v>
      </c>
      <c r="B265" t="s">
        <v>72</v>
      </c>
      <c r="C265" t="s">
        <v>493</v>
      </c>
      <c r="D265">
        <v>1</v>
      </c>
    </row>
    <row r="266" spans="1:4" x14ac:dyDescent="0.25">
      <c r="A266" t="s">
        <v>71</v>
      </c>
      <c r="B266" t="s">
        <v>72</v>
      </c>
      <c r="C266" t="s">
        <v>486</v>
      </c>
      <c r="D266">
        <v>1</v>
      </c>
    </row>
    <row r="267" spans="1:4" x14ac:dyDescent="0.25">
      <c r="A267" t="s">
        <v>71</v>
      </c>
      <c r="B267" t="s">
        <v>72</v>
      </c>
      <c r="C267" t="s">
        <v>487</v>
      </c>
      <c r="D267">
        <v>1</v>
      </c>
    </row>
    <row r="268" spans="1:4" x14ac:dyDescent="0.25">
      <c r="A268" t="s">
        <v>71</v>
      </c>
      <c r="B268" t="s">
        <v>72</v>
      </c>
      <c r="C268" t="s">
        <v>496</v>
      </c>
      <c r="D268">
        <v>1</v>
      </c>
    </row>
    <row r="269" spans="1:4" x14ac:dyDescent="0.25">
      <c r="A269" t="s">
        <v>71</v>
      </c>
      <c r="B269" t="s">
        <v>72</v>
      </c>
      <c r="C269" t="s">
        <v>499</v>
      </c>
      <c r="D269">
        <v>1</v>
      </c>
    </row>
    <row r="270" spans="1:4" x14ac:dyDescent="0.25">
      <c r="A270" t="s">
        <v>71</v>
      </c>
      <c r="B270" t="s">
        <v>27</v>
      </c>
      <c r="C270" t="s">
        <v>479</v>
      </c>
      <c r="D270">
        <v>1.9910000000000001</v>
      </c>
    </row>
    <row r="271" spans="1:4" x14ac:dyDescent="0.25">
      <c r="A271" t="s">
        <v>71</v>
      </c>
      <c r="B271" t="s">
        <v>27</v>
      </c>
      <c r="C271" t="s">
        <v>481</v>
      </c>
      <c r="D271">
        <v>1.972</v>
      </c>
    </row>
    <row r="272" spans="1:4" x14ac:dyDescent="0.25">
      <c r="A272" t="s">
        <v>71</v>
      </c>
      <c r="B272" t="s">
        <v>27</v>
      </c>
      <c r="C272" t="s">
        <v>491</v>
      </c>
      <c r="D272">
        <v>1.952</v>
      </c>
    </row>
    <row r="273" spans="1:4" x14ac:dyDescent="0.25">
      <c r="A273" t="s">
        <v>71</v>
      </c>
      <c r="B273" t="s">
        <v>27</v>
      </c>
      <c r="C273" t="s">
        <v>492</v>
      </c>
      <c r="D273">
        <v>1.8759999999999999</v>
      </c>
    </row>
    <row r="274" spans="1:4" x14ac:dyDescent="0.25">
      <c r="A274" t="s">
        <v>71</v>
      </c>
      <c r="B274" t="s">
        <v>27</v>
      </c>
      <c r="C274" t="s">
        <v>483</v>
      </c>
      <c r="D274">
        <v>1.8520000000000001</v>
      </c>
    </row>
    <row r="275" spans="1:4" x14ac:dyDescent="0.25">
      <c r="A275" t="s">
        <v>71</v>
      </c>
      <c r="B275" t="s">
        <v>27</v>
      </c>
      <c r="C275" t="s">
        <v>493</v>
      </c>
      <c r="D275">
        <v>1.7989999999999999</v>
      </c>
    </row>
    <row r="276" spans="1:4" x14ac:dyDescent="0.25">
      <c r="A276" t="s">
        <v>71</v>
      </c>
      <c r="B276" t="s">
        <v>27</v>
      </c>
      <c r="C276" t="s">
        <v>486</v>
      </c>
      <c r="D276">
        <v>1.784</v>
      </c>
    </row>
    <row r="277" spans="1:4" x14ac:dyDescent="0.25">
      <c r="A277" t="s">
        <v>71</v>
      </c>
      <c r="B277" t="s">
        <v>27</v>
      </c>
      <c r="C277" t="s">
        <v>487</v>
      </c>
      <c r="D277">
        <v>1.7989999999999999</v>
      </c>
    </row>
    <row r="278" spans="1:4" x14ac:dyDescent="0.25">
      <c r="A278" t="s">
        <v>71</v>
      </c>
      <c r="B278" t="s">
        <v>27</v>
      </c>
      <c r="C278" t="s">
        <v>496</v>
      </c>
      <c r="D278">
        <v>1.8009999999999999</v>
      </c>
    </row>
    <row r="279" spans="1:4" x14ac:dyDescent="0.25">
      <c r="A279" t="s">
        <v>71</v>
      </c>
      <c r="B279" t="s">
        <v>27</v>
      </c>
      <c r="C279" t="s">
        <v>499</v>
      </c>
      <c r="D279">
        <v>1.7390000000000001</v>
      </c>
    </row>
    <row r="280" spans="1:4" x14ac:dyDescent="0.25">
      <c r="A280" t="s">
        <v>71</v>
      </c>
      <c r="B280" t="s">
        <v>29</v>
      </c>
      <c r="C280" t="s">
        <v>479</v>
      </c>
      <c r="D280">
        <v>0.46899999999999997</v>
      </c>
    </row>
    <row r="281" spans="1:4" x14ac:dyDescent="0.25">
      <c r="A281" t="s">
        <v>71</v>
      </c>
      <c r="B281" t="s">
        <v>29</v>
      </c>
      <c r="C281" t="s">
        <v>481</v>
      </c>
      <c r="D281">
        <v>0.498</v>
      </c>
    </row>
    <row r="282" spans="1:4" x14ac:dyDescent="0.25">
      <c r="A282" t="s">
        <v>71</v>
      </c>
      <c r="B282" t="s">
        <v>29</v>
      </c>
      <c r="C282" t="s">
        <v>491</v>
      </c>
      <c r="D282">
        <v>0.52900000000000003</v>
      </c>
    </row>
    <row r="283" spans="1:4" x14ac:dyDescent="0.25">
      <c r="A283" t="s">
        <v>71</v>
      </c>
      <c r="B283" t="s">
        <v>29</v>
      </c>
      <c r="C283" t="s">
        <v>492</v>
      </c>
      <c r="D283">
        <v>0.64900000000000002</v>
      </c>
    </row>
    <row r="284" spans="1:4" x14ac:dyDescent="0.25">
      <c r="A284" t="s">
        <v>71</v>
      </c>
      <c r="B284" t="s">
        <v>29</v>
      </c>
      <c r="C284" t="s">
        <v>483</v>
      </c>
      <c r="D284">
        <v>0.68700000000000006</v>
      </c>
    </row>
    <row r="285" spans="1:4" x14ac:dyDescent="0.25">
      <c r="A285" t="s">
        <v>71</v>
      </c>
      <c r="B285" t="s">
        <v>29</v>
      </c>
      <c r="C285" t="s">
        <v>493</v>
      </c>
      <c r="D285">
        <v>0.77</v>
      </c>
    </row>
    <row r="286" spans="1:4" x14ac:dyDescent="0.25">
      <c r="A286" t="s">
        <v>71</v>
      </c>
      <c r="B286" t="s">
        <v>29</v>
      </c>
      <c r="C286" t="s">
        <v>486</v>
      </c>
      <c r="D286">
        <v>0.79400000000000004</v>
      </c>
    </row>
    <row r="287" spans="1:4" x14ac:dyDescent="0.25">
      <c r="A287" t="s">
        <v>71</v>
      </c>
      <c r="B287" t="s">
        <v>29</v>
      </c>
      <c r="C287" t="s">
        <v>487</v>
      </c>
      <c r="D287">
        <v>0.77</v>
      </c>
    </row>
    <row r="288" spans="1:4" x14ac:dyDescent="0.25">
      <c r="A288" t="s">
        <v>71</v>
      </c>
      <c r="B288" t="s">
        <v>29</v>
      </c>
      <c r="C288" t="s">
        <v>496</v>
      </c>
      <c r="D288">
        <v>0.76700000000000002</v>
      </c>
    </row>
    <row r="289" spans="1:4" x14ac:dyDescent="0.25">
      <c r="A289" t="s">
        <v>71</v>
      </c>
      <c r="B289" t="s">
        <v>29</v>
      </c>
      <c r="C289" t="s">
        <v>499</v>
      </c>
      <c r="D289">
        <v>0.86399999999999999</v>
      </c>
    </row>
    <row r="290" spans="1:4" x14ac:dyDescent="0.25">
      <c r="A290" t="s">
        <v>71</v>
      </c>
      <c r="B290" t="s">
        <v>63</v>
      </c>
      <c r="C290" t="s">
        <v>479</v>
      </c>
      <c r="D290">
        <v>1.33</v>
      </c>
    </row>
    <row r="291" spans="1:4" x14ac:dyDescent="0.25">
      <c r="A291" t="s">
        <v>71</v>
      </c>
      <c r="B291" t="s">
        <v>63</v>
      </c>
      <c r="C291" t="s">
        <v>481</v>
      </c>
      <c r="D291">
        <v>1.3169999999999999</v>
      </c>
    </row>
    <row r="292" spans="1:4" x14ac:dyDescent="0.25">
      <c r="A292" t="s">
        <v>71</v>
      </c>
      <c r="B292" t="s">
        <v>63</v>
      </c>
      <c r="C292" t="s">
        <v>491</v>
      </c>
      <c r="D292">
        <v>1.304</v>
      </c>
    </row>
    <row r="293" spans="1:4" x14ac:dyDescent="0.25">
      <c r="A293" t="s">
        <v>71</v>
      </c>
      <c r="B293" t="s">
        <v>63</v>
      </c>
      <c r="C293" t="s">
        <v>492</v>
      </c>
      <c r="D293">
        <v>1.2529999999999999</v>
      </c>
    </row>
    <row r="294" spans="1:4" x14ac:dyDescent="0.25">
      <c r="A294" t="s">
        <v>71</v>
      </c>
      <c r="B294" t="s">
        <v>63</v>
      </c>
      <c r="C294" t="s">
        <v>483</v>
      </c>
      <c r="D294">
        <v>1.2370000000000001</v>
      </c>
    </row>
    <row r="295" spans="1:4" x14ac:dyDescent="0.25">
      <c r="A295" t="s">
        <v>71</v>
      </c>
      <c r="B295" t="s">
        <v>63</v>
      </c>
      <c r="C295" t="s">
        <v>493</v>
      </c>
      <c r="D295">
        <v>1.202</v>
      </c>
    </row>
    <row r="296" spans="1:4" x14ac:dyDescent="0.25">
      <c r="A296" t="s">
        <v>71</v>
      </c>
      <c r="B296" t="s">
        <v>63</v>
      </c>
      <c r="C296" t="s">
        <v>486</v>
      </c>
      <c r="D296">
        <v>1.1910000000000001</v>
      </c>
    </row>
    <row r="297" spans="1:4" x14ac:dyDescent="0.25">
      <c r="A297" t="s">
        <v>71</v>
      </c>
      <c r="B297" t="s">
        <v>63</v>
      </c>
      <c r="C297" t="s">
        <v>487</v>
      </c>
      <c r="D297">
        <v>1.2010000000000001</v>
      </c>
    </row>
    <row r="298" spans="1:4" x14ac:dyDescent="0.25">
      <c r="A298" t="s">
        <v>71</v>
      </c>
      <c r="B298" t="s">
        <v>63</v>
      </c>
      <c r="C298" t="s">
        <v>496</v>
      </c>
      <c r="D298">
        <v>1.2030000000000001</v>
      </c>
    </row>
    <row r="299" spans="1:4" x14ac:dyDescent="0.25">
      <c r="A299" t="s">
        <v>71</v>
      </c>
      <c r="B299" t="s">
        <v>63</v>
      </c>
      <c r="C299" t="s">
        <v>499</v>
      </c>
      <c r="D299">
        <v>1.161</v>
      </c>
    </row>
    <row r="300" spans="1:4" x14ac:dyDescent="0.25">
      <c r="A300" t="s">
        <v>71</v>
      </c>
      <c r="B300" t="s">
        <v>64</v>
      </c>
      <c r="C300" t="s">
        <v>479</v>
      </c>
      <c r="D300">
        <v>0.121</v>
      </c>
    </row>
    <row r="301" spans="1:4" x14ac:dyDescent="0.25">
      <c r="A301" t="s">
        <v>71</v>
      </c>
      <c r="B301" t="s">
        <v>64</v>
      </c>
      <c r="C301" t="s">
        <v>481</v>
      </c>
      <c r="D301">
        <v>0.12</v>
      </c>
    </row>
    <row r="302" spans="1:4" x14ac:dyDescent="0.25">
      <c r="A302" t="s">
        <v>71</v>
      </c>
      <c r="B302" t="s">
        <v>64</v>
      </c>
      <c r="C302" t="s">
        <v>491</v>
      </c>
      <c r="D302">
        <v>0.11899999999999999</v>
      </c>
    </row>
    <row r="303" spans="1:4" x14ac:dyDescent="0.25">
      <c r="A303" t="s">
        <v>71</v>
      </c>
      <c r="B303" t="s">
        <v>64</v>
      </c>
      <c r="C303" t="s">
        <v>492</v>
      </c>
      <c r="D303">
        <v>0.114</v>
      </c>
    </row>
    <row r="304" spans="1:4" x14ac:dyDescent="0.25">
      <c r="A304" t="s">
        <v>71</v>
      </c>
      <c r="B304" t="s">
        <v>64</v>
      </c>
      <c r="C304" t="s">
        <v>483</v>
      </c>
      <c r="D304">
        <v>0.112</v>
      </c>
    </row>
    <row r="305" spans="1:4" x14ac:dyDescent="0.25">
      <c r="A305" t="s">
        <v>71</v>
      </c>
      <c r="B305" t="s">
        <v>64</v>
      </c>
      <c r="C305" t="s">
        <v>493</v>
      </c>
      <c r="D305">
        <v>0.109</v>
      </c>
    </row>
    <row r="306" spans="1:4" x14ac:dyDescent="0.25">
      <c r="A306" t="s">
        <v>71</v>
      </c>
      <c r="B306" t="s">
        <v>64</v>
      </c>
      <c r="C306" t="s">
        <v>486</v>
      </c>
      <c r="D306">
        <v>0.108</v>
      </c>
    </row>
    <row r="307" spans="1:4" x14ac:dyDescent="0.25">
      <c r="A307" t="s">
        <v>71</v>
      </c>
      <c r="B307" t="s">
        <v>64</v>
      </c>
      <c r="C307" t="s">
        <v>487</v>
      </c>
      <c r="D307">
        <v>0.109</v>
      </c>
    </row>
    <row r="308" spans="1:4" x14ac:dyDescent="0.25">
      <c r="A308" t="s">
        <v>71</v>
      </c>
      <c r="B308" t="s">
        <v>64</v>
      </c>
      <c r="C308" t="s">
        <v>496</v>
      </c>
      <c r="D308">
        <v>0.109</v>
      </c>
    </row>
    <row r="309" spans="1:4" x14ac:dyDescent="0.25">
      <c r="A309" t="s">
        <v>71</v>
      </c>
      <c r="B309" t="s">
        <v>64</v>
      </c>
      <c r="C309" t="s">
        <v>499</v>
      </c>
      <c r="D309">
        <v>0.106</v>
      </c>
    </row>
    <row r="310" spans="1:4" x14ac:dyDescent="0.25">
      <c r="A310" t="s">
        <v>71</v>
      </c>
      <c r="B310" t="s">
        <v>24</v>
      </c>
      <c r="C310" t="s">
        <v>479</v>
      </c>
      <c r="D310">
        <v>1.069</v>
      </c>
    </row>
    <row r="311" spans="1:4" x14ac:dyDescent="0.25">
      <c r="A311" t="s">
        <v>71</v>
      </c>
      <c r="B311" t="s">
        <v>24</v>
      </c>
      <c r="C311" t="s">
        <v>481</v>
      </c>
      <c r="D311">
        <v>1.075</v>
      </c>
    </row>
    <row r="312" spans="1:4" x14ac:dyDescent="0.25">
      <c r="A312" t="s">
        <v>71</v>
      </c>
      <c r="B312" t="s">
        <v>24</v>
      </c>
      <c r="C312" t="s">
        <v>491</v>
      </c>
      <c r="D312">
        <v>1.052</v>
      </c>
    </row>
    <row r="313" spans="1:4" x14ac:dyDescent="0.25">
      <c r="A313" t="s">
        <v>71</v>
      </c>
      <c r="B313" t="s">
        <v>24</v>
      </c>
      <c r="C313" t="s">
        <v>492</v>
      </c>
      <c r="D313">
        <v>1.0429999999999999</v>
      </c>
    </row>
    <row r="314" spans="1:4" x14ac:dyDescent="0.25">
      <c r="A314" t="s">
        <v>71</v>
      </c>
      <c r="B314" t="s">
        <v>24</v>
      </c>
      <c r="C314" t="s">
        <v>483</v>
      </c>
      <c r="D314">
        <v>1.028</v>
      </c>
    </row>
    <row r="315" spans="1:4" x14ac:dyDescent="0.25">
      <c r="A315" t="s">
        <v>71</v>
      </c>
      <c r="B315" t="s">
        <v>24</v>
      </c>
      <c r="C315" t="s">
        <v>493</v>
      </c>
      <c r="D315">
        <v>1.0329999999999999</v>
      </c>
    </row>
    <row r="316" spans="1:4" x14ac:dyDescent="0.25">
      <c r="A316" t="s">
        <v>71</v>
      </c>
      <c r="B316" t="s">
        <v>24</v>
      </c>
      <c r="C316" t="s">
        <v>486</v>
      </c>
      <c r="D316">
        <v>1.0269999999999999</v>
      </c>
    </row>
    <row r="317" spans="1:4" x14ac:dyDescent="0.25">
      <c r="A317" t="s">
        <v>71</v>
      </c>
      <c r="B317" t="s">
        <v>24</v>
      </c>
      <c r="C317" t="s">
        <v>487</v>
      </c>
      <c r="D317">
        <v>1.032</v>
      </c>
    </row>
    <row r="318" spans="1:4" x14ac:dyDescent="0.25">
      <c r="A318" t="s">
        <v>71</v>
      </c>
      <c r="B318" t="s">
        <v>24</v>
      </c>
      <c r="C318" t="s">
        <v>496</v>
      </c>
      <c r="D318">
        <v>1.026</v>
      </c>
    </row>
    <row r="319" spans="1:4" x14ac:dyDescent="0.25">
      <c r="A319" t="s">
        <v>71</v>
      </c>
      <c r="B319" t="s">
        <v>24</v>
      </c>
      <c r="C319" t="s">
        <v>499</v>
      </c>
      <c r="D319">
        <v>1.026</v>
      </c>
    </row>
    <row r="320" spans="1:4" x14ac:dyDescent="0.25">
      <c r="A320" t="s">
        <v>71</v>
      </c>
      <c r="B320" t="s">
        <v>5</v>
      </c>
      <c r="C320" t="s">
        <v>479</v>
      </c>
      <c r="D320">
        <v>7.42</v>
      </c>
    </row>
    <row r="321" spans="1:4" x14ac:dyDescent="0.25">
      <c r="A321" t="s">
        <v>71</v>
      </c>
      <c r="B321" t="s">
        <v>5</v>
      </c>
      <c r="C321" t="s">
        <v>481</v>
      </c>
      <c r="D321">
        <v>7.2569999999999997</v>
      </c>
    </row>
    <row r="322" spans="1:4" x14ac:dyDescent="0.25">
      <c r="A322" t="s">
        <v>71</v>
      </c>
      <c r="B322" t="s">
        <v>5</v>
      </c>
      <c r="C322" t="s">
        <v>491</v>
      </c>
      <c r="D322">
        <v>7.2759999999999998</v>
      </c>
    </row>
    <row r="323" spans="1:4" x14ac:dyDescent="0.25">
      <c r="A323" t="s">
        <v>71</v>
      </c>
      <c r="B323" t="s">
        <v>5</v>
      </c>
      <c r="C323" t="s">
        <v>492</v>
      </c>
      <c r="D323">
        <v>6.8220000000000001</v>
      </c>
    </row>
    <row r="324" spans="1:4" x14ac:dyDescent="0.25">
      <c r="A324" t="s">
        <v>71</v>
      </c>
      <c r="B324" t="s">
        <v>5</v>
      </c>
      <c r="C324" t="s">
        <v>483</v>
      </c>
      <c r="D324">
        <v>6.5529999999999999</v>
      </c>
    </row>
    <row r="325" spans="1:4" x14ac:dyDescent="0.25">
      <c r="A325" t="s">
        <v>71</v>
      </c>
      <c r="B325" t="s">
        <v>5</v>
      </c>
      <c r="C325" t="s">
        <v>493</v>
      </c>
      <c r="D325">
        <v>6.032</v>
      </c>
    </row>
    <row r="326" spans="1:4" x14ac:dyDescent="0.25">
      <c r="A326" t="s">
        <v>71</v>
      </c>
      <c r="B326" t="s">
        <v>5</v>
      </c>
      <c r="C326" t="s">
        <v>486</v>
      </c>
      <c r="D326">
        <v>5.8550000000000004</v>
      </c>
    </row>
    <row r="327" spans="1:4" x14ac:dyDescent="0.25">
      <c r="A327" t="s">
        <v>71</v>
      </c>
      <c r="B327" t="s">
        <v>5</v>
      </c>
      <c r="C327" t="s">
        <v>487</v>
      </c>
      <c r="D327">
        <v>5.9329999999999998</v>
      </c>
    </row>
    <row r="328" spans="1:4" x14ac:dyDescent="0.25">
      <c r="A328" t="s">
        <v>71</v>
      </c>
      <c r="B328" t="s">
        <v>5</v>
      </c>
      <c r="C328" t="s">
        <v>496</v>
      </c>
      <c r="D328">
        <v>6.0540000000000003</v>
      </c>
    </row>
    <row r="329" spans="1:4" x14ac:dyDescent="0.25">
      <c r="A329" t="s">
        <v>71</v>
      </c>
      <c r="B329" t="s">
        <v>5</v>
      </c>
      <c r="C329" t="s">
        <v>499</v>
      </c>
      <c r="D329">
        <v>5.6109999999999998</v>
      </c>
    </row>
    <row r="330" spans="1:4" x14ac:dyDescent="0.25">
      <c r="A330" t="s">
        <v>71</v>
      </c>
      <c r="B330" t="s">
        <v>22</v>
      </c>
      <c r="C330" t="s">
        <v>479</v>
      </c>
      <c r="D330">
        <v>2.5999999999999999E-2</v>
      </c>
    </row>
    <row r="331" spans="1:4" x14ac:dyDescent="0.25">
      <c r="A331" t="s">
        <v>71</v>
      </c>
      <c r="B331" t="s">
        <v>22</v>
      </c>
      <c r="C331" t="s">
        <v>481</v>
      </c>
      <c r="D331">
        <v>2.1000000000000001E-2</v>
      </c>
    </row>
    <row r="332" spans="1:4" x14ac:dyDescent="0.25">
      <c r="A332" t="s">
        <v>71</v>
      </c>
      <c r="B332" t="s">
        <v>22</v>
      </c>
      <c r="C332" t="s">
        <v>491</v>
      </c>
      <c r="D332">
        <v>2.1000000000000001E-2</v>
      </c>
    </row>
    <row r="333" spans="1:4" x14ac:dyDescent="0.25">
      <c r="A333" t="s">
        <v>71</v>
      </c>
      <c r="B333" t="s">
        <v>22</v>
      </c>
      <c r="C333" t="s">
        <v>492</v>
      </c>
      <c r="D333">
        <v>1.9E-2</v>
      </c>
    </row>
    <row r="334" spans="1:4" x14ac:dyDescent="0.25">
      <c r="A334" t="s">
        <v>71</v>
      </c>
      <c r="B334" t="s">
        <v>22</v>
      </c>
      <c r="C334" t="s">
        <v>483</v>
      </c>
      <c r="D334">
        <v>1.6E-2</v>
      </c>
    </row>
    <row r="335" spans="1:4" x14ac:dyDescent="0.25">
      <c r="A335" t="s">
        <v>71</v>
      </c>
      <c r="B335" t="s">
        <v>22</v>
      </c>
      <c r="C335" t="s">
        <v>493</v>
      </c>
      <c r="D335">
        <v>1.7000000000000001E-2</v>
      </c>
    </row>
    <row r="336" spans="1:4" x14ac:dyDescent="0.25">
      <c r="A336" t="s">
        <v>71</v>
      </c>
      <c r="B336" t="s">
        <v>22</v>
      </c>
      <c r="C336" t="s">
        <v>486</v>
      </c>
      <c r="D336">
        <v>1.6E-2</v>
      </c>
    </row>
    <row r="337" spans="1:4" x14ac:dyDescent="0.25">
      <c r="A337" t="s">
        <v>71</v>
      </c>
      <c r="B337" t="s">
        <v>22</v>
      </c>
      <c r="C337" t="s">
        <v>487</v>
      </c>
      <c r="D337">
        <v>1.6E-2</v>
      </c>
    </row>
    <row r="338" spans="1:4" x14ac:dyDescent="0.25">
      <c r="A338" t="s">
        <v>71</v>
      </c>
      <c r="B338" t="s">
        <v>22</v>
      </c>
      <c r="C338" t="s">
        <v>496</v>
      </c>
      <c r="D338">
        <v>1.4999999999999999E-2</v>
      </c>
    </row>
    <row r="339" spans="1:4" x14ac:dyDescent="0.25">
      <c r="A339" t="s">
        <v>71</v>
      </c>
      <c r="B339" t="s">
        <v>22</v>
      </c>
      <c r="C339" t="s">
        <v>499</v>
      </c>
      <c r="D339">
        <v>1.4999999999999999E-2</v>
      </c>
    </row>
    <row r="340" spans="1:4" x14ac:dyDescent="0.25">
      <c r="A340" t="s">
        <v>71</v>
      </c>
      <c r="B340" t="s">
        <v>66</v>
      </c>
      <c r="C340" t="s">
        <v>479</v>
      </c>
      <c r="D340">
        <v>1.5</v>
      </c>
    </row>
    <row r="341" spans="1:4" x14ac:dyDescent="0.25">
      <c r="A341" t="s">
        <v>71</v>
      </c>
      <c r="B341" t="s">
        <v>66</v>
      </c>
      <c r="C341" t="s">
        <v>481</v>
      </c>
      <c r="D341">
        <v>1.5</v>
      </c>
    </row>
    <row r="342" spans="1:4" x14ac:dyDescent="0.25">
      <c r="A342" t="s">
        <v>71</v>
      </c>
      <c r="B342" t="s">
        <v>66</v>
      </c>
      <c r="C342" t="s">
        <v>491</v>
      </c>
      <c r="D342">
        <v>1.5</v>
      </c>
    </row>
    <row r="343" spans="1:4" x14ac:dyDescent="0.25">
      <c r="A343" t="s">
        <v>71</v>
      </c>
      <c r="B343" t="s">
        <v>66</v>
      </c>
      <c r="C343" t="s">
        <v>492</v>
      </c>
      <c r="D343">
        <v>1.5</v>
      </c>
    </row>
    <row r="344" spans="1:4" x14ac:dyDescent="0.25">
      <c r="A344" t="s">
        <v>71</v>
      </c>
      <c r="B344" t="s">
        <v>66</v>
      </c>
      <c r="C344" t="s">
        <v>483</v>
      </c>
      <c r="D344">
        <v>1.5</v>
      </c>
    </row>
    <row r="345" spans="1:4" x14ac:dyDescent="0.25">
      <c r="A345" t="s">
        <v>71</v>
      </c>
      <c r="B345" t="s">
        <v>66</v>
      </c>
      <c r="C345" t="s">
        <v>493</v>
      </c>
      <c r="D345">
        <v>1.5</v>
      </c>
    </row>
    <row r="346" spans="1:4" x14ac:dyDescent="0.25">
      <c r="A346" t="s">
        <v>71</v>
      </c>
      <c r="B346" t="s">
        <v>66</v>
      </c>
      <c r="C346" t="s">
        <v>486</v>
      </c>
      <c r="D346">
        <v>1.5</v>
      </c>
    </row>
    <row r="347" spans="1:4" x14ac:dyDescent="0.25">
      <c r="A347" t="s">
        <v>71</v>
      </c>
      <c r="B347" t="s">
        <v>66</v>
      </c>
      <c r="C347" t="s">
        <v>487</v>
      </c>
      <c r="D347">
        <v>1.5</v>
      </c>
    </row>
    <row r="348" spans="1:4" x14ac:dyDescent="0.25">
      <c r="A348" t="s">
        <v>71</v>
      </c>
      <c r="B348" t="s">
        <v>66</v>
      </c>
      <c r="C348" t="s">
        <v>496</v>
      </c>
      <c r="D348">
        <v>1.5</v>
      </c>
    </row>
    <row r="349" spans="1:4" x14ac:dyDescent="0.25">
      <c r="A349" t="s">
        <v>71</v>
      </c>
      <c r="B349" t="s">
        <v>66</v>
      </c>
      <c r="C349" t="s">
        <v>499</v>
      </c>
      <c r="D349">
        <v>1.5</v>
      </c>
    </row>
    <row r="350" spans="1:4" x14ac:dyDescent="0.25">
      <c r="A350" t="s">
        <v>71</v>
      </c>
      <c r="B350" t="s">
        <v>615</v>
      </c>
      <c r="C350" t="s">
        <v>479</v>
      </c>
      <c r="D350">
        <v>4.8999999999999998E-3</v>
      </c>
    </row>
    <row r="351" spans="1:4" x14ac:dyDescent="0.25">
      <c r="A351" t="s">
        <v>71</v>
      </c>
      <c r="B351" t="s">
        <v>615</v>
      </c>
      <c r="C351" t="s">
        <v>481</v>
      </c>
      <c r="D351">
        <v>4.8999999999999998E-3</v>
      </c>
    </row>
    <row r="352" spans="1:4" x14ac:dyDescent="0.25">
      <c r="A352" t="s">
        <v>71</v>
      </c>
      <c r="B352" t="s">
        <v>615</v>
      </c>
      <c r="C352" t="s">
        <v>491</v>
      </c>
      <c r="D352">
        <v>4.8999999999999998E-3</v>
      </c>
    </row>
    <row r="353" spans="1:4" x14ac:dyDescent="0.25">
      <c r="A353" t="s">
        <v>71</v>
      </c>
      <c r="B353" t="s">
        <v>615</v>
      </c>
      <c r="C353" t="s">
        <v>492</v>
      </c>
      <c r="D353">
        <v>4.8999999999999998E-3</v>
      </c>
    </row>
    <row r="354" spans="1:4" x14ac:dyDescent="0.25">
      <c r="A354" t="s">
        <v>71</v>
      </c>
      <c r="B354" t="s">
        <v>615</v>
      </c>
      <c r="C354" t="s">
        <v>483</v>
      </c>
      <c r="D354">
        <v>4.8999999999999998E-3</v>
      </c>
    </row>
    <row r="355" spans="1:4" x14ac:dyDescent="0.25">
      <c r="A355" t="s">
        <v>71</v>
      </c>
      <c r="B355" t="s">
        <v>615</v>
      </c>
      <c r="C355" t="s">
        <v>493</v>
      </c>
      <c r="D355">
        <v>6.0000000000000001E-3</v>
      </c>
    </row>
    <row r="356" spans="1:4" x14ac:dyDescent="0.25">
      <c r="A356" t="s">
        <v>71</v>
      </c>
      <c r="B356" t="s">
        <v>615</v>
      </c>
      <c r="C356" t="s">
        <v>486</v>
      </c>
      <c r="D356">
        <v>6.4999999999999997E-3</v>
      </c>
    </row>
    <row r="357" spans="1:4" x14ac:dyDescent="0.25">
      <c r="A357" t="s">
        <v>71</v>
      </c>
      <c r="B357" t="s">
        <v>615</v>
      </c>
      <c r="C357" t="s">
        <v>487</v>
      </c>
      <c r="D357">
        <v>4.8999999999999998E-3</v>
      </c>
    </row>
    <row r="358" spans="1:4" x14ac:dyDescent="0.25">
      <c r="A358" t="s">
        <v>71</v>
      </c>
      <c r="B358" t="s">
        <v>615</v>
      </c>
      <c r="C358" t="s">
        <v>496</v>
      </c>
      <c r="D358">
        <v>4.4000000000000003E-3</v>
      </c>
    </row>
    <row r="359" spans="1:4" x14ac:dyDescent="0.25">
      <c r="A359" t="s">
        <v>71</v>
      </c>
      <c r="B359" t="s">
        <v>615</v>
      </c>
      <c r="C359" t="s">
        <v>499</v>
      </c>
      <c r="D359">
        <v>6.0000000000000001E-3</v>
      </c>
    </row>
    <row r="360" spans="1:4" x14ac:dyDescent="0.25">
      <c r="A360" t="s">
        <v>71</v>
      </c>
      <c r="B360" t="s">
        <v>67</v>
      </c>
      <c r="C360" t="s">
        <v>479</v>
      </c>
      <c r="D360">
        <v>0.28100000000000003</v>
      </c>
    </row>
    <row r="361" spans="1:4" x14ac:dyDescent="0.25">
      <c r="A361" t="s">
        <v>71</v>
      </c>
      <c r="B361" t="s">
        <v>67</v>
      </c>
      <c r="C361" t="s">
        <v>481</v>
      </c>
      <c r="D361">
        <v>0.28100000000000003</v>
      </c>
    </row>
    <row r="362" spans="1:4" x14ac:dyDescent="0.25">
      <c r="A362" t="s">
        <v>71</v>
      </c>
      <c r="B362" t="s">
        <v>67</v>
      </c>
      <c r="C362" t="s">
        <v>491</v>
      </c>
      <c r="D362">
        <v>0.28100000000000003</v>
      </c>
    </row>
    <row r="363" spans="1:4" x14ac:dyDescent="0.25">
      <c r="A363" t="s">
        <v>71</v>
      </c>
      <c r="B363" t="s">
        <v>67</v>
      </c>
      <c r="C363" t="s">
        <v>492</v>
      </c>
      <c r="D363">
        <v>0.28100000000000003</v>
      </c>
    </row>
    <row r="364" spans="1:4" x14ac:dyDescent="0.25">
      <c r="A364" t="s">
        <v>71</v>
      </c>
      <c r="B364" t="s">
        <v>67</v>
      </c>
      <c r="C364" t="s">
        <v>483</v>
      </c>
      <c r="D364">
        <v>0.28100000000000003</v>
      </c>
    </row>
    <row r="365" spans="1:4" x14ac:dyDescent="0.25">
      <c r="A365" t="s">
        <v>71</v>
      </c>
      <c r="B365" t="s">
        <v>67</v>
      </c>
      <c r="C365" t="s">
        <v>493</v>
      </c>
      <c r="D365">
        <v>0.28100000000000003</v>
      </c>
    </row>
    <row r="366" spans="1:4" x14ac:dyDescent="0.25">
      <c r="A366" t="s">
        <v>71</v>
      </c>
      <c r="B366" t="s">
        <v>67</v>
      </c>
      <c r="C366" t="s">
        <v>486</v>
      </c>
      <c r="D366">
        <v>0.28100000000000003</v>
      </c>
    </row>
    <row r="367" spans="1:4" x14ac:dyDescent="0.25">
      <c r="A367" t="s">
        <v>71</v>
      </c>
      <c r="B367" t="s">
        <v>67</v>
      </c>
      <c r="C367" t="s">
        <v>487</v>
      </c>
      <c r="D367">
        <v>0.28100000000000003</v>
      </c>
    </row>
    <row r="368" spans="1:4" x14ac:dyDescent="0.25">
      <c r="A368" t="s">
        <v>71</v>
      </c>
      <c r="B368" t="s">
        <v>67</v>
      </c>
      <c r="C368" t="s">
        <v>496</v>
      </c>
      <c r="D368">
        <v>0.28100000000000003</v>
      </c>
    </row>
    <row r="369" spans="1:4" x14ac:dyDescent="0.25">
      <c r="A369" t="s">
        <v>71</v>
      </c>
      <c r="B369" t="s">
        <v>67</v>
      </c>
      <c r="C369" t="s">
        <v>499</v>
      </c>
      <c r="D369">
        <v>0.28100000000000003</v>
      </c>
    </row>
    <row r="370" spans="1:4" x14ac:dyDescent="0.25">
      <c r="A370" t="s">
        <v>73</v>
      </c>
      <c r="B370" t="s">
        <v>62</v>
      </c>
      <c r="C370" t="s">
        <v>479</v>
      </c>
      <c r="D370">
        <v>-0.25</v>
      </c>
    </row>
    <row r="371" spans="1:4" x14ac:dyDescent="0.25">
      <c r="A371" t="s">
        <v>73</v>
      </c>
      <c r="B371" t="s">
        <v>62</v>
      </c>
      <c r="C371" t="s">
        <v>481</v>
      </c>
      <c r="D371">
        <v>-0.25</v>
      </c>
    </row>
    <row r="372" spans="1:4" x14ac:dyDescent="0.25">
      <c r="A372" t="s">
        <v>73</v>
      </c>
      <c r="B372" t="s">
        <v>62</v>
      </c>
      <c r="C372" t="s">
        <v>491</v>
      </c>
      <c r="D372">
        <v>-0.25</v>
      </c>
    </row>
    <row r="373" spans="1:4" x14ac:dyDescent="0.25">
      <c r="A373" t="s">
        <v>73</v>
      </c>
      <c r="B373" t="s">
        <v>62</v>
      </c>
      <c r="C373" t="s">
        <v>492</v>
      </c>
      <c r="D373">
        <v>-0.25</v>
      </c>
    </row>
    <row r="374" spans="1:4" x14ac:dyDescent="0.25">
      <c r="A374" t="s">
        <v>73</v>
      </c>
      <c r="B374" t="s">
        <v>62</v>
      </c>
      <c r="C374" t="s">
        <v>483</v>
      </c>
      <c r="D374">
        <v>-0.25</v>
      </c>
    </row>
    <row r="375" spans="1:4" x14ac:dyDescent="0.25">
      <c r="A375" t="s">
        <v>73</v>
      </c>
      <c r="B375" t="s">
        <v>62</v>
      </c>
      <c r="C375" t="s">
        <v>493</v>
      </c>
      <c r="D375">
        <v>-0.25</v>
      </c>
    </row>
    <row r="376" spans="1:4" x14ac:dyDescent="0.25">
      <c r="A376" t="s">
        <v>73</v>
      </c>
      <c r="B376" t="s">
        <v>62</v>
      </c>
      <c r="C376" t="s">
        <v>486</v>
      </c>
      <c r="D376">
        <v>-0.25</v>
      </c>
    </row>
    <row r="377" spans="1:4" x14ac:dyDescent="0.25">
      <c r="A377" t="s">
        <v>73</v>
      </c>
      <c r="B377" t="s">
        <v>62</v>
      </c>
      <c r="C377" t="s">
        <v>487</v>
      </c>
      <c r="D377">
        <v>-0.25</v>
      </c>
    </row>
    <row r="378" spans="1:4" x14ac:dyDescent="0.25">
      <c r="A378" t="s">
        <v>73</v>
      </c>
      <c r="B378" t="s">
        <v>62</v>
      </c>
      <c r="C378" t="s">
        <v>496</v>
      </c>
      <c r="D378">
        <v>-0.25</v>
      </c>
    </row>
    <row r="379" spans="1:4" x14ac:dyDescent="0.25">
      <c r="A379" t="s">
        <v>73</v>
      </c>
      <c r="B379" t="s">
        <v>62</v>
      </c>
      <c r="C379" t="s">
        <v>499</v>
      </c>
      <c r="D379">
        <v>-0.25</v>
      </c>
    </row>
    <row r="380" spans="1:4" x14ac:dyDescent="0.25">
      <c r="A380" t="s">
        <v>73</v>
      </c>
      <c r="B380" t="s">
        <v>72</v>
      </c>
      <c r="C380" t="s">
        <v>479</v>
      </c>
      <c r="D380">
        <v>1</v>
      </c>
    </row>
    <row r="381" spans="1:4" x14ac:dyDescent="0.25">
      <c r="A381" t="s">
        <v>73</v>
      </c>
      <c r="B381" t="s">
        <v>72</v>
      </c>
      <c r="C381" t="s">
        <v>481</v>
      </c>
      <c r="D381">
        <v>1</v>
      </c>
    </row>
    <row r="382" spans="1:4" x14ac:dyDescent="0.25">
      <c r="A382" t="s">
        <v>73</v>
      </c>
      <c r="B382" t="s">
        <v>72</v>
      </c>
      <c r="C382" t="s">
        <v>491</v>
      </c>
      <c r="D382">
        <v>1</v>
      </c>
    </row>
    <row r="383" spans="1:4" x14ac:dyDescent="0.25">
      <c r="A383" t="s">
        <v>73</v>
      </c>
      <c r="B383" t="s">
        <v>72</v>
      </c>
      <c r="C383" t="s">
        <v>492</v>
      </c>
      <c r="D383">
        <v>1</v>
      </c>
    </row>
    <row r="384" spans="1:4" x14ac:dyDescent="0.25">
      <c r="A384" t="s">
        <v>73</v>
      </c>
      <c r="B384" t="s">
        <v>72</v>
      </c>
      <c r="C384" t="s">
        <v>483</v>
      </c>
      <c r="D384">
        <v>1</v>
      </c>
    </row>
    <row r="385" spans="1:4" x14ac:dyDescent="0.25">
      <c r="A385" t="s">
        <v>73</v>
      </c>
      <c r="B385" t="s">
        <v>72</v>
      </c>
      <c r="C385" t="s">
        <v>493</v>
      </c>
      <c r="D385">
        <v>1</v>
      </c>
    </row>
    <row r="386" spans="1:4" x14ac:dyDescent="0.25">
      <c r="A386" t="s">
        <v>73</v>
      </c>
      <c r="B386" t="s">
        <v>72</v>
      </c>
      <c r="C386" t="s">
        <v>486</v>
      </c>
      <c r="D386">
        <v>1</v>
      </c>
    </row>
    <row r="387" spans="1:4" x14ac:dyDescent="0.25">
      <c r="A387" t="s">
        <v>73</v>
      </c>
      <c r="B387" t="s">
        <v>72</v>
      </c>
      <c r="C387" t="s">
        <v>487</v>
      </c>
      <c r="D387">
        <v>1</v>
      </c>
    </row>
    <row r="388" spans="1:4" x14ac:dyDescent="0.25">
      <c r="A388" t="s">
        <v>73</v>
      </c>
      <c r="B388" t="s">
        <v>72</v>
      </c>
      <c r="C388" t="s">
        <v>496</v>
      </c>
      <c r="D388">
        <v>1</v>
      </c>
    </row>
    <row r="389" spans="1:4" x14ac:dyDescent="0.25">
      <c r="A389" t="s">
        <v>73</v>
      </c>
      <c r="B389" t="s">
        <v>72</v>
      </c>
      <c r="C389" t="s">
        <v>499</v>
      </c>
      <c r="D389">
        <v>1</v>
      </c>
    </row>
    <row r="390" spans="1:4" x14ac:dyDescent="0.25">
      <c r="A390" t="s">
        <v>73</v>
      </c>
      <c r="B390" t="s">
        <v>27</v>
      </c>
      <c r="C390" t="s">
        <v>479</v>
      </c>
      <c r="D390">
        <v>2.9119999999999999</v>
      </c>
    </row>
    <row r="391" spans="1:4" x14ac:dyDescent="0.25">
      <c r="A391" t="s">
        <v>73</v>
      </c>
      <c r="B391" t="s">
        <v>27</v>
      </c>
      <c r="C391" t="s">
        <v>481</v>
      </c>
      <c r="D391">
        <v>2.9119999999999999</v>
      </c>
    </row>
    <row r="392" spans="1:4" x14ac:dyDescent="0.25">
      <c r="A392" t="s">
        <v>73</v>
      </c>
      <c r="B392" t="s">
        <v>27</v>
      </c>
      <c r="C392" t="s">
        <v>491</v>
      </c>
      <c r="D392">
        <v>2.9119999999999999</v>
      </c>
    </row>
    <row r="393" spans="1:4" x14ac:dyDescent="0.25">
      <c r="A393" t="s">
        <v>73</v>
      </c>
      <c r="B393" t="s">
        <v>27</v>
      </c>
      <c r="C393" t="s">
        <v>492</v>
      </c>
      <c r="D393">
        <v>2.9119999999999999</v>
      </c>
    </row>
    <row r="394" spans="1:4" x14ac:dyDescent="0.25">
      <c r="A394" t="s">
        <v>73</v>
      </c>
      <c r="B394" t="s">
        <v>27</v>
      </c>
      <c r="C394" t="s">
        <v>483</v>
      </c>
      <c r="D394">
        <v>2.4649999999999999</v>
      </c>
    </row>
    <row r="395" spans="1:4" x14ac:dyDescent="0.25">
      <c r="A395" t="s">
        <v>73</v>
      </c>
      <c r="B395" t="s">
        <v>27</v>
      </c>
      <c r="C395" t="s">
        <v>493</v>
      </c>
      <c r="D395">
        <v>2.4649999999999999</v>
      </c>
    </row>
    <row r="396" spans="1:4" x14ac:dyDescent="0.25">
      <c r="A396" t="s">
        <v>73</v>
      </c>
      <c r="B396" t="s">
        <v>27</v>
      </c>
      <c r="C396" t="s">
        <v>486</v>
      </c>
      <c r="D396">
        <v>2.4649999999999999</v>
      </c>
    </row>
    <row r="397" spans="1:4" x14ac:dyDescent="0.25">
      <c r="A397" t="s">
        <v>73</v>
      </c>
      <c r="B397" t="s">
        <v>27</v>
      </c>
      <c r="C397" t="s">
        <v>487</v>
      </c>
      <c r="D397">
        <v>2.4649999999999999</v>
      </c>
    </row>
    <row r="398" spans="1:4" x14ac:dyDescent="0.25">
      <c r="A398" t="s">
        <v>73</v>
      </c>
      <c r="B398" t="s">
        <v>27</v>
      </c>
      <c r="C398" t="s">
        <v>496</v>
      </c>
      <c r="D398">
        <v>2.4769999999999999</v>
      </c>
    </row>
    <row r="399" spans="1:4" x14ac:dyDescent="0.25">
      <c r="A399" t="s">
        <v>73</v>
      </c>
      <c r="B399" t="s">
        <v>27</v>
      </c>
      <c r="C399" t="s">
        <v>499</v>
      </c>
      <c r="D399">
        <v>2.4649999999999999</v>
      </c>
    </row>
    <row r="400" spans="1:4" x14ac:dyDescent="0.25">
      <c r="A400" t="s">
        <v>73</v>
      </c>
      <c r="B400" t="s">
        <v>29</v>
      </c>
      <c r="C400" t="s">
        <v>479</v>
      </c>
      <c r="D400">
        <v>1.845</v>
      </c>
    </row>
    <row r="401" spans="1:4" x14ac:dyDescent="0.25">
      <c r="A401" t="s">
        <v>73</v>
      </c>
      <c r="B401" t="s">
        <v>29</v>
      </c>
      <c r="C401" t="s">
        <v>481</v>
      </c>
      <c r="D401">
        <v>1.845</v>
      </c>
    </row>
    <row r="402" spans="1:4" x14ac:dyDescent="0.25">
      <c r="A402" t="s">
        <v>73</v>
      </c>
      <c r="B402" t="s">
        <v>29</v>
      </c>
      <c r="C402" t="s">
        <v>491</v>
      </c>
      <c r="D402">
        <v>1.845</v>
      </c>
    </row>
    <row r="403" spans="1:4" x14ac:dyDescent="0.25">
      <c r="A403" t="s">
        <v>73</v>
      </c>
      <c r="B403" t="s">
        <v>29</v>
      </c>
      <c r="C403" t="s">
        <v>492</v>
      </c>
      <c r="D403">
        <v>1.845</v>
      </c>
    </row>
    <row r="404" spans="1:4" x14ac:dyDescent="0.25">
      <c r="A404" t="s">
        <v>73</v>
      </c>
      <c r="B404" t="s">
        <v>29</v>
      </c>
      <c r="C404" t="s">
        <v>483</v>
      </c>
      <c r="D404">
        <v>2.7029999999999998</v>
      </c>
    </row>
    <row r="405" spans="1:4" x14ac:dyDescent="0.25">
      <c r="A405" t="s">
        <v>73</v>
      </c>
      <c r="B405" t="s">
        <v>29</v>
      </c>
      <c r="C405" t="s">
        <v>493</v>
      </c>
      <c r="D405">
        <v>2.7029999999999998</v>
      </c>
    </row>
    <row r="406" spans="1:4" x14ac:dyDescent="0.25">
      <c r="A406" t="s">
        <v>73</v>
      </c>
      <c r="B406" t="s">
        <v>29</v>
      </c>
      <c r="C406" t="s">
        <v>486</v>
      </c>
      <c r="D406">
        <v>2.7029999999999998</v>
      </c>
    </row>
    <row r="407" spans="1:4" x14ac:dyDescent="0.25">
      <c r="A407" t="s">
        <v>73</v>
      </c>
      <c r="B407" t="s">
        <v>29</v>
      </c>
      <c r="C407" t="s">
        <v>487</v>
      </c>
      <c r="D407">
        <v>2.7029999999999998</v>
      </c>
    </row>
    <row r="408" spans="1:4" x14ac:dyDescent="0.25">
      <c r="A408" t="s">
        <v>73</v>
      </c>
      <c r="B408" t="s">
        <v>29</v>
      </c>
      <c r="C408" t="s">
        <v>496</v>
      </c>
      <c r="D408">
        <v>2.6819999999999999</v>
      </c>
    </row>
    <row r="409" spans="1:4" x14ac:dyDescent="0.25">
      <c r="A409" t="s">
        <v>73</v>
      </c>
      <c r="B409" t="s">
        <v>29</v>
      </c>
      <c r="C409" t="s">
        <v>499</v>
      </c>
      <c r="D409">
        <v>2.7029999999999998</v>
      </c>
    </row>
    <row r="410" spans="1:4" x14ac:dyDescent="0.25">
      <c r="A410" t="s">
        <v>73</v>
      </c>
      <c r="B410" t="s">
        <v>63</v>
      </c>
      <c r="C410" t="s">
        <v>479</v>
      </c>
      <c r="D410">
        <v>0.14000000000000001</v>
      </c>
    </row>
    <row r="411" spans="1:4" x14ac:dyDescent="0.25">
      <c r="A411" t="s">
        <v>73</v>
      </c>
      <c r="B411" t="s">
        <v>63</v>
      </c>
      <c r="C411" t="s">
        <v>481</v>
      </c>
      <c r="D411">
        <v>0.14000000000000001</v>
      </c>
    </row>
    <row r="412" spans="1:4" x14ac:dyDescent="0.25">
      <c r="A412" t="s">
        <v>73</v>
      </c>
      <c r="B412" t="s">
        <v>63</v>
      </c>
      <c r="C412" t="s">
        <v>491</v>
      </c>
      <c r="D412">
        <v>0.14000000000000001</v>
      </c>
    </row>
    <row r="413" spans="1:4" x14ac:dyDescent="0.25">
      <c r="A413" t="s">
        <v>73</v>
      </c>
      <c r="B413" t="s">
        <v>63</v>
      </c>
      <c r="C413" t="s">
        <v>492</v>
      </c>
      <c r="D413">
        <v>0.14000000000000001</v>
      </c>
    </row>
    <row r="414" spans="1:4" x14ac:dyDescent="0.25">
      <c r="A414" t="s">
        <v>73</v>
      </c>
      <c r="B414" t="s">
        <v>63</v>
      </c>
      <c r="C414" t="s">
        <v>483</v>
      </c>
      <c r="D414">
        <v>0.11899999999999999</v>
      </c>
    </row>
    <row r="415" spans="1:4" x14ac:dyDescent="0.25">
      <c r="A415" t="s">
        <v>73</v>
      </c>
      <c r="B415" t="s">
        <v>63</v>
      </c>
      <c r="C415" t="s">
        <v>493</v>
      </c>
      <c r="D415">
        <v>0.11899999999999999</v>
      </c>
    </row>
    <row r="416" spans="1:4" x14ac:dyDescent="0.25">
      <c r="A416" t="s">
        <v>73</v>
      </c>
      <c r="B416" t="s">
        <v>63</v>
      </c>
      <c r="C416" t="s">
        <v>486</v>
      </c>
      <c r="D416">
        <v>0.11899999999999999</v>
      </c>
    </row>
    <row r="417" spans="1:4" x14ac:dyDescent="0.25">
      <c r="A417" t="s">
        <v>73</v>
      </c>
      <c r="B417" t="s">
        <v>63</v>
      </c>
      <c r="C417" t="s">
        <v>487</v>
      </c>
      <c r="D417">
        <v>0.11899999999999999</v>
      </c>
    </row>
    <row r="418" spans="1:4" x14ac:dyDescent="0.25">
      <c r="A418" t="s">
        <v>73</v>
      </c>
      <c r="B418" t="s">
        <v>63</v>
      </c>
      <c r="C418" t="s">
        <v>496</v>
      </c>
      <c r="D418">
        <v>0.11899999999999999</v>
      </c>
    </row>
    <row r="419" spans="1:4" x14ac:dyDescent="0.25">
      <c r="A419" t="s">
        <v>73</v>
      </c>
      <c r="B419" t="s">
        <v>63</v>
      </c>
      <c r="C419" t="s">
        <v>499</v>
      </c>
      <c r="D419">
        <v>0.11899999999999999</v>
      </c>
    </row>
    <row r="420" spans="1:4" x14ac:dyDescent="0.25">
      <c r="A420" t="s">
        <v>73</v>
      </c>
      <c r="B420" t="s">
        <v>64</v>
      </c>
      <c r="C420" t="s">
        <v>479</v>
      </c>
      <c r="D420">
        <v>7.2999999999999995E-2</v>
      </c>
    </row>
    <row r="421" spans="1:4" x14ac:dyDescent="0.25">
      <c r="A421" t="s">
        <v>73</v>
      </c>
      <c r="B421" t="s">
        <v>64</v>
      </c>
      <c r="C421" t="s">
        <v>481</v>
      </c>
      <c r="D421">
        <v>7.2999999999999995E-2</v>
      </c>
    </row>
    <row r="422" spans="1:4" x14ac:dyDescent="0.25">
      <c r="A422" t="s">
        <v>73</v>
      </c>
      <c r="B422" t="s">
        <v>64</v>
      </c>
      <c r="C422" t="s">
        <v>491</v>
      </c>
      <c r="D422">
        <v>7.2999999999999995E-2</v>
      </c>
    </row>
    <row r="423" spans="1:4" x14ac:dyDescent="0.25">
      <c r="A423" t="s">
        <v>73</v>
      </c>
      <c r="B423" t="s">
        <v>64</v>
      </c>
      <c r="C423" t="s">
        <v>492</v>
      </c>
      <c r="D423">
        <v>7.2999999999999995E-2</v>
      </c>
    </row>
    <row r="424" spans="1:4" x14ac:dyDescent="0.25">
      <c r="A424" t="s">
        <v>73</v>
      </c>
      <c r="B424" t="s">
        <v>64</v>
      </c>
      <c r="C424" t="s">
        <v>483</v>
      </c>
      <c r="D424">
        <v>6.2E-2</v>
      </c>
    </row>
    <row r="425" spans="1:4" x14ac:dyDescent="0.25">
      <c r="A425" t="s">
        <v>73</v>
      </c>
      <c r="B425" t="s">
        <v>64</v>
      </c>
      <c r="C425" t="s">
        <v>493</v>
      </c>
      <c r="D425">
        <v>6.2E-2</v>
      </c>
    </row>
    <row r="426" spans="1:4" x14ac:dyDescent="0.25">
      <c r="A426" t="s">
        <v>73</v>
      </c>
      <c r="B426" t="s">
        <v>64</v>
      </c>
      <c r="C426" t="s">
        <v>486</v>
      </c>
      <c r="D426">
        <v>6.2E-2</v>
      </c>
    </row>
    <row r="427" spans="1:4" x14ac:dyDescent="0.25">
      <c r="A427" t="s">
        <v>73</v>
      </c>
      <c r="B427" t="s">
        <v>64</v>
      </c>
      <c r="C427" t="s">
        <v>487</v>
      </c>
      <c r="D427">
        <v>6.2E-2</v>
      </c>
    </row>
    <row r="428" spans="1:4" x14ac:dyDescent="0.25">
      <c r="A428" t="s">
        <v>73</v>
      </c>
      <c r="B428" t="s">
        <v>64</v>
      </c>
      <c r="C428" t="s">
        <v>496</v>
      </c>
      <c r="D428">
        <v>6.2E-2</v>
      </c>
    </row>
    <row r="429" spans="1:4" x14ac:dyDescent="0.25">
      <c r="A429" t="s">
        <v>73</v>
      </c>
      <c r="B429" t="s">
        <v>64</v>
      </c>
      <c r="C429" t="s">
        <v>499</v>
      </c>
      <c r="D429">
        <v>6.2E-2</v>
      </c>
    </row>
    <row r="430" spans="1:4" x14ac:dyDescent="0.25">
      <c r="A430" t="s">
        <v>73</v>
      </c>
      <c r="B430" t="s">
        <v>24</v>
      </c>
      <c r="C430" t="s">
        <v>479</v>
      </c>
      <c r="D430">
        <v>1.0309999999999999</v>
      </c>
    </row>
    <row r="431" spans="1:4" x14ac:dyDescent="0.25">
      <c r="A431" t="s">
        <v>73</v>
      </c>
      <c r="B431" t="s">
        <v>24</v>
      </c>
      <c r="C431" t="s">
        <v>481</v>
      </c>
      <c r="D431">
        <v>1.0349999999999999</v>
      </c>
    </row>
    <row r="432" spans="1:4" x14ac:dyDescent="0.25">
      <c r="A432" t="s">
        <v>73</v>
      </c>
      <c r="B432" t="s">
        <v>24</v>
      </c>
      <c r="C432" t="s">
        <v>491</v>
      </c>
      <c r="D432">
        <v>1.0129999999999999</v>
      </c>
    </row>
    <row r="433" spans="1:4" x14ac:dyDescent="0.25">
      <c r="A433" t="s">
        <v>73</v>
      </c>
      <c r="B433" t="s">
        <v>24</v>
      </c>
      <c r="C433" t="s">
        <v>492</v>
      </c>
      <c r="D433">
        <v>1.002</v>
      </c>
    </row>
    <row r="434" spans="1:4" x14ac:dyDescent="0.25">
      <c r="A434" t="s">
        <v>73</v>
      </c>
      <c r="B434" t="s">
        <v>24</v>
      </c>
      <c r="C434" t="s">
        <v>483</v>
      </c>
      <c r="D434">
        <v>0.99</v>
      </c>
    </row>
    <row r="435" spans="1:4" x14ac:dyDescent="0.25">
      <c r="A435" t="s">
        <v>73</v>
      </c>
      <c r="B435" t="s">
        <v>24</v>
      </c>
      <c r="C435" t="s">
        <v>493</v>
      </c>
      <c r="D435">
        <v>0.996</v>
      </c>
    </row>
    <row r="436" spans="1:4" x14ac:dyDescent="0.25">
      <c r="A436" t="s">
        <v>73</v>
      </c>
      <c r="B436" t="s">
        <v>24</v>
      </c>
      <c r="C436" t="s">
        <v>486</v>
      </c>
      <c r="D436">
        <v>0.99399999999999999</v>
      </c>
    </row>
    <row r="437" spans="1:4" x14ac:dyDescent="0.25">
      <c r="A437" t="s">
        <v>73</v>
      </c>
      <c r="B437" t="s">
        <v>24</v>
      </c>
      <c r="C437" t="s">
        <v>487</v>
      </c>
      <c r="D437">
        <v>1</v>
      </c>
    </row>
    <row r="438" spans="1:4" x14ac:dyDescent="0.25">
      <c r="A438" t="s">
        <v>73</v>
      </c>
      <c r="B438" t="s">
        <v>24</v>
      </c>
      <c r="C438" t="s">
        <v>496</v>
      </c>
      <c r="D438">
        <v>0.996</v>
      </c>
    </row>
    <row r="439" spans="1:4" x14ac:dyDescent="0.25">
      <c r="A439" t="s">
        <v>73</v>
      </c>
      <c r="B439" t="s">
        <v>24</v>
      </c>
      <c r="C439" t="s">
        <v>499</v>
      </c>
      <c r="D439">
        <v>0.995</v>
      </c>
    </row>
    <row r="440" spans="1:4" x14ac:dyDescent="0.25">
      <c r="A440" t="s">
        <v>73</v>
      </c>
      <c r="B440" t="s">
        <v>5</v>
      </c>
      <c r="C440" t="s">
        <v>479</v>
      </c>
      <c r="D440">
        <v>10.138999999999999</v>
      </c>
    </row>
    <row r="441" spans="1:4" x14ac:dyDescent="0.25">
      <c r="A441" t="s">
        <v>73</v>
      </c>
      <c r="B441" t="s">
        <v>5</v>
      </c>
      <c r="C441" t="s">
        <v>481</v>
      </c>
      <c r="D441">
        <v>9.8230000000000004</v>
      </c>
    </row>
    <row r="442" spans="1:4" x14ac:dyDescent="0.25">
      <c r="A442" t="s">
        <v>73</v>
      </c>
      <c r="B442" t="s">
        <v>5</v>
      </c>
      <c r="C442" t="s">
        <v>491</v>
      </c>
      <c r="D442">
        <v>9.9329999999999998</v>
      </c>
    </row>
    <row r="443" spans="1:4" x14ac:dyDescent="0.25">
      <c r="A443" t="s">
        <v>73</v>
      </c>
      <c r="B443" t="s">
        <v>5</v>
      </c>
      <c r="C443" t="s">
        <v>492</v>
      </c>
      <c r="D443">
        <v>9.0109999999999992</v>
      </c>
    </row>
    <row r="444" spans="1:4" x14ac:dyDescent="0.25">
      <c r="A444" t="s">
        <v>73</v>
      </c>
      <c r="B444" t="s">
        <v>5</v>
      </c>
      <c r="C444" t="s">
        <v>483</v>
      </c>
      <c r="D444">
        <v>8.5530000000000008</v>
      </c>
    </row>
    <row r="445" spans="1:4" x14ac:dyDescent="0.25">
      <c r="A445" t="s">
        <v>73</v>
      </c>
      <c r="B445" t="s">
        <v>5</v>
      </c>
      <c r="C445" t="s">
        <v>493</v>
      </c>
      <c r="D445">
        <v>7.5119999999999996</v>
      </c>
    </row>
    <row r="446" spans="1:4" x14ac:dyDescent="0.25">
      <c r="A446" t="s">
        <v>73</v>
      </c>
      <c r="B446" t="s">
        <v>5</v>
      </c>
      <c r="C446" t="s">
        <v>486</v>
      </c>
      <c r="D446">
        <v>7.2220000000000004</v>
      </c>
    </row>
    <row r="447" spans="1:4" x14ac:dyDescent="0.25">
      <c r="A447" t="s">
        <v>73</v>
      </c>
      <c r="B447" t="s">
        <v>5</v>
      </c>
      <c r="C447" t="s">
        <v>487</v>
      </c>
      <c r="D447">
        <v>7.4210000000000003</v>
      </c>
    </row>
    <row r="448" spans="1:4" x14ac:dyDescent="0.25">
      <c r="A448" t="s">
        <v>73</v>
      </c>
      <c r="B448" t="s">
        <v>5</v>
      </c>
      <c r="C448" t="s">
        <v>496</v>
      </c>
      <c r="D448">
        <v>7.6020000000000003</v>
      </c>
    </row>
    <row r="449" spans="1:4" x14ac:dyDescent="0.25">
      <c r="A449" t="s">
        <v>73</v>
      </c>
      <c r="B449" t="s">
        <v>5</v>
      </c>
      <c r="C449" t="s">
        <v>499</v>
      </c>
      <c r="D449">
        <v>6.7450000000000001</v>
      </c>
    </row>
    <row r="450" spans="1:4" x14ac:dyDescent="0.25">
      <c r="A450" t="s">
        <v>73</v>
      </c>
      <c r="B450" t="s">
        <v>22</v>
      </c>
      <c r="C450" t="s">
        <v>479</v>
      </c>
      <c r="D450">
        <v>3.4000000000000002E-2</v>
      </c>
    </row>
    <row r="451" spans="1:4" x14ac:dyDescent="0.25">
      <c r="A451" t="s">
        <v>73</v>
      </c>
      <c r="B451" t="s">
        <v>22</v>
      </c>
      <c r="C451" t="s">
        <v>481</v>
      </c>
      <c r="D451">
        <v>2.9000000000000001E-2</v>
      </c>
    </row>
    <row r="452" spans="1:4" x14ac:dyDescent="0.25">
      <c r="A452" t="s">
        <v>73</v>
      </c>
      <c r="B452" t="s">
        <v>22</v>
      </c>
      <c r="C452" t="s">
        <v>491</v>
      </c>
      <c r="D452">
        <v>2.8000000000000001E-2</v>
      </c>
    </row>
    <row r="453" spans="1:4" x14ac:dyDescent="0.25">
      <c r="A453" t="s">
        <v>73</v>
      </c>
      <c r="B453" t="s">
        <v>22</v>
      </c>
      <c r="C453" t="s">
        <v>492</v>
      </c>
      <c r="D453">
        <v>2.5000000000000001E-2</v>
      </c>
    </row>
    <row r="454" spans="1:4" x14ac:dyDescent="0.25">
      <c r="A454" t="s">
        <v>73</v>
      </c>
      <c r="B454" t="s">
        <v>22</v>
      </c>
      <c r="C454" t="s">
        <v>483</v>
      </c>
      <c r="D454">
        <v>2.1999999999999999E-2</v>
      </c>
    </row>
    <row r="455" spans="1:4" x14ac:dyDescent="0.25">
      <c r="A455" t="s">
        <v>73</v>
      </c>
      <c r="B455" t="s">
        <v>22</v>
      </c>
      <c r="C455" t="s">
        <v>493</v>
      </c>
      <c r="D455">
        <v>2.3E-2</v>
      </c>
    </row>
    <row r="456" spans="1:4" x14ac:dyDescent="0.25">
      <c r="A456" t="s">
        <v>73</v>
      </c>
      <c r="B456" t="s">
        <v>22</v>
      </c>
      <c r="C456" t="s">
        <v>486</v>
      </c>
      <c r="D456">
        <v>2.1000000000000001E-2</v>
      </c>
    </row>
    <row r="457" spans="1:4" x14ac:dyDescent="0.25">
      <c r="A457" t="s">
        <v>73</v>
      </c>
      <c r="B457" t="s">
        <v>22</v>
      </c>
      <c r="C457" t="s">
        <v>487</v>
      </c>
      <c r="D457">
        <v>2.1999999999999999E-2</v>
      </c>
    </row>
    <row r="458" spans="1:4" x14ac:dyDescent="0.25">
      <c r="A458" t="s">
        <v>73</v>
      </c>
      <c r="B458" t="s">
        <v>22</v>
      </c>
      <c r="C458" t="s">
        <v>496</v>
      </c>
      <c r="D458">
        <v>0.02</v>
      </c>
    </row>
    <row r="459" spans="1:4" x14ac:dyDescent="0.25">
      <c r="A459" t="s">
        <v>73</v>
      </c>
      <c r="B459" t="s">
        <v>22</v>
      </c>
      <c r="C459" t="s">
        <v>499</v>
      </c>
      <c r="D459">
        <v>0.02</v>
      </c>
    </row>
    <row r="460" spans="1:4" x14ac:dyDescent="0.25">
      <c r="A460" t="s">
        <v>73</v>
      </c>
      <c r="B460" t="s">
        <v>66</v>
      </c>
      <c r="C460" t="s">
        <v>479</v>
      </c>
      <c r="D460">
        <v>1</v>
      </c>
    </row>
    <row r="461" spans="1:4" x14ac:dyDescent="0.25">
      <c r="A461" t="s">
        <v>73</v>
      </c>
      <c r="B461" t="s">
        <v>66</v>
      </c>
      <c r="C461" t="s">
        <v>481</v>
      </c>
      <c r="D461">
        <v>1</v>
      </c>
    </row>
    <row r="462" spans="1:4" x14ac:dyDescent="0.25">
      <c r="A462" t="s">
        <v>73</v>
      </c>
      <c r="B462" t="s">
        <v>66</v>
      </c>
      <c r="C462" t="s">
        <v>491</v>
      </c>
      <c r="D462">
        <v>1</v>
      </c>
    </row>
    <row r="463" spans="1:4" x14ac:dyDescent="0.25">
      <c r="A463" t="s">
        <v>73</v>
      </c>
      <c r="B463" t="s">
        <v>66</v>
      </c>
      <c r="C463" t="s">
        <v>492</v>
      </c>
      <c r="D463">
        <v>1</v>
      </c>
    </row>
    <row r="464" spans="1:4" x14ac:dyDescent="0.25">
      <c r="A464" t="s">
        <v>73</v>
      </c>
      <c r="B464" t="s">
        <v>66</v>
      </c>
      <c r="C464" t="s">
        <v>483</v>
      </c>
      <c r="D464">
        <v>1</v>
      </c>
    </row>
    <row r="465" spans="1:4" x14ac:dyDescent="0.25">
      <c r="A465" t="s">
        <v>73</v>
      </c>
      <c r="B465" t="s">
        <v>66</v>
      </c>
      <c r="C465" t="s">
        <v>493</v>
      </c>
      <c r="D465">
        <v>1</v>
      </c>
    </row>
    <row r="466" spans="1:4" x14ac:dyDescent="0.25">
      <c r="A466" t="s">
        <v>73</v>
      </c>
      <c r="B466" t="s">
        <v>66</v>
      </c>
      <c r="C466" t="s">
        <v>486</v>
      </c>
      <c r="D466">
        <v>1</v>
      </c>
    </row>
    <row r="467" spans="1:4" x14ac:dyDescent="0.25">
      <c r="A467" t="s">
        <v>73</v>
      </c>
      <c r="B467" t="s">
        <v>66</v>
      </c>
      <c r="C467" t="s">
        <v>487</v>
      </c>
      <c r="D467">
        <v>1</v>
      </c>
    </row>
    <row r="468" spans="1:4" x14ac:dyDescent="0.25">
      <c r="A468" t="s">
        <v>73</v>
      </c>
      <c r="B468" t="s">
        <v>66</v>
      </c>
      <c r="C468" t="s">
        <v>496</v>
      </c>
      <c r="D468">
        <v>1</v>
      </c>
    </row>
    <row r="469" spans="1:4" x14ac:dyDescent="0.25">
      <c r="A469" t="s">
        <v>73</v>
      </c>
      <c r="B469" t="s">
        <v>66</v>
      </c>
      <c r="C469" t="s">
        <v>499</v>
      </c>
      <c r="D469">
        <v>1</v>
      </c>
    </row>
    <row r="470" spans="1:4" x14ac:dyDescent="0.25">
      <c r="A470" t="s">
        <v>73</v>
      </c>
      <c r="B470" t="s">
        <v>615</v>
      </c>
      <c r="C470" t="s">
        <v>479</v>
      </c>
      <c r="D470">
        <v>6.4999999999999997E-3</v>
      </c>
    </row>
    <row r="471" spans="1:4" x14ac:dyDescent="0.25">
      <c r="A471" t="s">
        <v>73</v>
      </c>
      <c r="B471" t="s">
        <v>615</v>
      </c>
      <c r="C471" t="s">
        <v>481</v>
      </c>
      <c r="D471">
        <v>6.4999999999999997E-3</v>
      </c>
    </row>
    <row r="472" spans="1:4" x14ac:dyDescent="0.25">
      <c r="A472" t="s">
        <v>73</v>
      </c>
      <c r="B472" t="s">
        <v>615</v>
      </c>
      <c r="C472" t="s">
        <v>491</v>
      </c>
      <c r="D472">
        <v>6.4999999999999997E-3</v>
      </c>
    </row>
    <row r="473" spans="1:4" x14ac:dyDescent="0.25">
      <c r="A473" t="s">
        <v>73</v>
      </c>
      <c r="B473" t="s">
        <v>615</v>
      </c>
      <c r="C473" t="s">
        <v>492</v>
      </c>
      <c r="D473">
        <v>6.4999999999999997E-3</v>
      </c>
    </row>
    <row r="474" spans="1:4" x14ac:dyDescent="0.25">
      <c r="A474" t="s">
        <v>73</v>
      </c>
      <c r="B474" t="s">
        <v>615</v>
      </c>
      <c r="C474" t="s">
        <v>483</v>
      </c>
      <c r="D474">
        <v>6.4999999999999997E-3</v>
      </c>
    </row>
    <row r="475" spans="1:4" x14ac:dyDescent="0.25">
      <c r="A475" t="s">
        <v>73</v>
      </c>
      <c r="B475" t="s">
        <v>615</v>
      </c>
      <c r="C475" t="s">
        <v>493</v>
      </c>
      <c r="D475">
        <v>8.0000000000000002E-3</v>
      </c>
    </row>
    <row r="476" spans="1:4" x14ac:dyDescent="0.25">
      <c r="A476" t="s">
        <v>73</v>
      </c>
      <c r="B476" t="s">
        <v>615</v>
      </c>
      <c r="C476" t="s">
        <v>486</v>
      </c>
      <c r="D476">
        <v>8.6999999999999994E-3</v>
      </c>
    </row>
    <row r="477" spans="1:4" x14ac:dyDescent="0.25">
      <c r="A477" t="s">
        <v>73</v>
      </c>
      <c r="B477" t="s">
        <v>615</v>
      </c>
      <c r="C477" t="s">
        <v>487</v>
      </c>
      <c r="D477">
        <v>6.4999999999999997E-3</v>
      </c>
    </row>
    <row r="478" spans="1:4" x14ac:dyDescent="0.25">
      <c r="A478" t="s">
        <v>73</v>
      </c>
      <c r="B478" t="s">
        <v>615</v>
      </c>
      <c r="C478" t="s">
        <v>496</v>
      </c>
      <c r="D478">
        <v>5.7999999999999996E-3</v>
      </c>
    </row>
    <row r="479" spans="1:4" x14ac:dyDescent="0.25">
      <c r="A479" t="s">
        <v>73</v>
      </c>
      <c r="B479" t="s">
        <v>615</v>
      </c>
      <c r="C479" t="s">
        <v>499</v>
      </c>
      <c r="D479">
        <v>8.0000000000000002E-3</v>
      </c>
    </row>
    <row r="480" spans="1:4" x14ac:dyDescent="0.25">
      <c r="A480" t="s">
        <v>73</v>
      </c>
      <c r="B480" t="s">
        <v>67</v>
      </c>
      <c r="C480" t="s">
        <v>479</v>
      </c>
      <c r="D480">
        <v>0.40799999999999997</v>
      </c>
    </row>
    <row r="481" spans="1:4" x14ac:dyDescent="0.25">
      <c r="A481" t="s">
        <v>73</v>
      </c>
      <c r="B481" t="s">
        <v>67</v>
      </c>
      <c r="C481" t="s">
        <v>481</v>
      </c>
      <c r="D481">
        <v>0.40799999999999997</v>
      </c>
    </row>
    <row r="482" spans="1:4" x14ac:dyDescent="0.25">
      <c r="A482" t="s">
        <v>73</v>
      </c>
      <c r="B482" t="s">
        <v>67</v>
      </c>
      <c r="C482" t="s">
        <v>491</v>
      </c>
      <c r="D482">
        <v>0.40799999999999997</v>
      </c>
    </row>
    <row r="483" spans="1:4" x14ac:dyDescent="0.25">
      <c r="A483" t="s">
        <v>73</v>
      </c>
      <c r="B483" t="s">
        <v>67</v>
      </c>
      <c r="C483" t="s">
        <v>492</v>
      </c>
      <c r="D483">
        <v>0.40799999999999997</v>
      </c>
    </row>
    <row r="484" spans="1:4" x14ac:dyDescent="0.25">
      <c r="A484" t="s">
        <v>73</v>
      </c>
      <c r="B484" t="s">
        <v>67</v>
      </c>
      <c r="C484" t="s">
        <v>483</v>
      </c>
      <c r="D484">
        <v>0.40799999999999997</v>
      </c>
    </row>
    <row r="485" spans="1:4" x14ac:dyDescent="0.25">
      <c r="A485" t="s">
        <v>73</v>
      </c>
      <c r="B485" t="s">
        <v>67</v>
      </c>
      <c r="C485" t="s">
        <v>493</v>
      </c>
      <c r="D485">
        <v>0.40799999999999997</v>
      </c>
    </row>
    <row r="486" spans="1:4" x14ac:dyDescent="0.25">
      <c r="A486" t="s">
        <v>73</v>
      </c>
      <c r="B486" t="s">
        <v>67</v>
      </c>
      <c r="C486" t="s">
        <v>486</v>
      </c>
      <c r="D486">
        <v>0.40799999999999997</v>
      </c>
    </row>
    <row r="487" spans="1:4" x14ac:dyDescent="0.25">
      <c r="A487" t="s">
        <v>73</v>
      </c>
      <c r="B487" t="s">
        <v>67</v>
      </c>
      <c r="C487" t="s">
        <v>487</v>
      </c>
      <c r="D487">
        <v>0.40799999999999997</v>
      </c>
    </row>
    <row r="488" spans="1:4" x14ac:dyDescent="0.25">
      <c r="A488" t="s">
        <v>73</v>
      </c>
      <c r="B488" t="s">
        <v>67</v>
      </c>
      <c r="C488" t="s">
        <v>496</v>
      </c>
      <c r="D488">
        <v>0.40799999999999997</v>
      </c>
    </row>
    <row r="489" spans="1:4" x14ac:dyDescent="0.25">
      <c r="A489" t="s">
        <v>73</v>
      </c>
      <c r="B489" t="s">
        <v>67</v>
      </c>
      <c r="C489" t="s">
        <v>499</v>
      </c>
      <c r="D489">
        <v>0.40799999999999997</v>
      </c>
    </row>
    <row r="490" spans="1:4" x14ac:dyDescent="0.25">
      <c r="A490" t="s">
        <v>116</v>
      </c>
      <c r="B490" t="s">
        <v>82</v>
      </c>
      <c r="C490" t="s">
        <v>479</v>
      </c>
      <c r="D490">
        <v>-1</v>
      </c>
    </row>
    <row r="491" spans="1:4" x14ac:dyDescent="0.25">
      <c r="A491" t="s">
        <v>116</v>
      </c>
      <c r="B491" t="s">
        <v>82</v>
      </c>
      <c r="C491" t="s">
        <v>481</v>
      </c>
      <c r="D491">
        <v>-1</v>
      </c>
    </row>
    <row r="492" spans="1:4" x14ac:dyDescent="0.25">
      <c r="A492" t="s">
        <v>116</v>
      </c>
      <c r="B492" t="s">
        <v>82</v>
      </c>
      <c r="C492" t="s">
        <v>491</v>
      </c>
      <c r="D492">
        <v>-1</v>
      </c>
    </row>
    <row r="493" spans="1:4" x14ac:dyDescent="0.25">
      <c r="A493" t="s">
        <v>116</v>
      </c>
      <c r="B493" t="s">
        <v>82</v>
      </c>
      <c r="C493" t="s">
        <v>492</v>
      </c>
      <c r="D493">
        <v>-1</v>
      </c>
    </row>
    <row r="494" spans="1:4" x14ac:dyDescent="0.25">
      <c r="A494" t="s">
        <v>116</v>
      </c>
      <c r="B494" t="s">
        <v>82</v>
      </c>
      <c r="C494" t="s">
        <v>483</v>
      </c>
      <c r="D494">
        <v>-1</v>
      </c>
    </row>
    <row r="495" spans="1:4" x14ac:dyDescent="0.25">
      <c r="A495" t="s">
        <v>116</v>
      </c>
      <c r="B495" t="s">
        <v>82</v>
      </c>
      <c r="C495" t="s">
        <v>486</v>
      </c>
      <c r="D495">
        <v>-1</v>
      </c>
    </row>
    <row r="496" spans="1:4" x14ac:dyDescent="0.25">
      <c r="A496" t="s">
        <v>116</v>
      </c>
      <c r="B496" t="s">
        <v>82</v>
      </c>
      <c r="C496" t="s">
        <v>487</v>
      </c>
      <c r="D496">
        <v>-1</v>
      </c>
    </row>
    <row r="497" spans="1:4" x14ac:dyDescent="0.25">
      <c r="A497" t="s">
        <v>116</v>
      </c>
      <c r="B497" t="s">
        <v>82</v>
      </c>
      <c r="C497" t="s">
        <v>493</v>
      </c>
      <c r="D497">
        <v>-1</v>
      </c>
    </row>
    <row r="498" spans="1:4" x14ac:dyDescent="0.25">
      <c r="A498" t="s">
        <v>116</v>
      </c>
      <c r="B498" t="s">
        <v>82</v>
      </c>
      <c r="C498" t="s">
        <v>496</v>
      </c>
      <c r="D498">
        <v>-1</v>
      </c>
    </row>
    <row r="499" spans="1:4" x14ac:dyDescent="0.25">
      <c r="A499" t="s">
        <v>116</v>
      </c>
      <c r="B499" t="s">
        <v>82</v>
      </c>
      <c r="C499" t="s">
        <v>499</v>
      </c>
      <c r="D499">
        <v>-1</v>
      </c>
    </row>
    <row r="500" spans="1:4" x14ac:dyDescent="0.25">
      <c r="A500" t="s">
        <v>116</v>
      </c>
      <c r="B500" t="s">
        <v>92</v>
      </c>
      <c r="C500" t="s">
        <v>479</v>
      </c>
      <c r="D500">
        <v>6.1</v>
      </c>
    </row>
    <row r="501" spans="1:4" x14ac:dyDescent="0.25">
      <c r="A501" t="s">
        <v>116</v>
      </c>
      <c r="B501" t="s">
        <v>92</v>
      </c>
      <c r="C501" t="s">
        <v>481</v>
      </c>
      <c r="D501">
        <v>6</v>
      </c>
    </row>
    <row r="502" spans="1:4" x14ac:dyDescent="0.25">
      <c r="A502" t="s">
        <v>116</v>
      </c>
      <c r="B502" t="s">
        <v>92</v>
      </c>
      <c r="C502" t="s">
        <v>491</v>
      </c>
      <c r="D502">
        <v>5.8</v>
      </c>
    </row>
    <row r="503" spans="1:4" x14ac:dyDescent="0.25">
      <c r="A503" t="s">
        <v>116</v>
      </c>
      <c r="B503" t="s">
        <v>92</v>
      </c>
      <c r="C503" t="s">
        <v>492</v>
      </c>
      <c r="D503">
        <v>5.6</v>
      </c>
    </row>
    <row r="504" spans="1:4" x14ac:dyDescent="0.25">
      <c r="A504" t="s">
        <v>116</v>
      </c>
      <c r="B504" t="s">
        <v>92</v>
      </c>
      <c r="C504" t="s">
        <v>483</v>
      </c>
      <c r="D504">
        <v>5.4</v>
      </c>
    </row>
    <row r="505" spans="1:4" x14ac:dyDescent="0.25">
      <c r="A505" t="s">
        <v>116</v>
      </c>
      <c r="B505" t="s">
        <v>92</v>
      </c>
      <c r="C505" t="s">
        <v>486</v>
      </c>
      <c r="D505">
        <v>5.0999999999999996</v>
      </c>
    </row>
    <row r="506" spans="1:4" x14ac:dyDescent="0.25">
      <c r="A506" t="s">
        <v>116</v>
      </c>
      <c r="B506" t="s">
        <v>92</v>
      </c>
      <c r="C506" t="s">
        <v>487</v>
      </c>
      <c r="D506">
        <v>5.0999999999999996</v>
      </c>
    </row>
    <row r="507" spans="1:4" x14ac:dyDescent="0.25">
      <c r="A507" t="s">
        <v>116</v>
      </c>
      <c r="B507" t="s">
        <v>92</v>
      </c>
      <c r="C507" t="s">
        <v>493</v>
      </c>
      <c r="D507">
        <v>5.2</v>
      </c>
    </row>
    <row r="508" spans="1:4" x14ac:dyDescent="0.25">
      <c r="A508" t="s">
        <v>116</v>
      </c>
      <c r="B508" t="s">
        <v>92</v>
      </c>
      <c r="C508" t="s">
        <v>496</v>
      </c>
      <c r="D508">
        <v>5.0999999999999996</v>
      </c>
    </row>
    <row r="509" spans="1:4" x14ac:dyDescent="0.25">
      <c r="A509" t="s">
        <v>116</v>
      </c>
      <c r="B509" t="s">
        <v>92</v>
      </c>
      <c r="C509" t="s">
        <v>499</v>
      </c>
      <c r="D509">
        <v>5.0999999999999996</v>
      </c>
    </row>
    <row r="510" spans="1:4" x14ac:dyDescent="0.25">
      <c r="A510" t="s">
        <v>117</v>
      </c>
      <c r="B510" t="s">
        <v>82</v>
      </c>
      <c r="C510" t="s">
        <v>479</v>
      </c>
      <c r="D510">
        <v>-1</v>
      </c>
    </row>
    <row r="511" spans="1:4" x14ac:dyDescent="0.25">
      <c r="A511" t="s">
        <v>117</v>
      </c>
      <c r="B511" t="s">
        <v>82</v>
      </c>
      <c r="C511" t="s">
        <v>481</v>
      </c>
      <c r="D511">
        <v>-1</v>
      </c>
    </row>
    <row r="512" spans="1:4" x14ac:dyDescent="0.25">
      <c r="A512" t="s">
        <v>117</v>
      </c>
      <c r="B512" t="s">
        <v>82</v>
      </c>
      <c r="C512" t="s">
        <v>491</v>
      </c>
      <c r="D512">
        <v>-1</v>
      </c>
    </row>
    <row r="513" spans="1:4" x14ac:dyDescent="0.25">
      <c r="A513" t="s">
        <v>117</v>
      </c>
      <c r="B513" t="s">
        <v>82</v>
      </c>
      <c r="C513" t="s">
        <v>492</v>
      </c>
      <c r="D513">
        <v>-1</v>
      </c>
    </row>
    <row r="514" spans="1:4" x14ac:dyDescent="0.25">
      <c r="A514" t="s">
        <v>117</v>
      </c>
      <c r="B514" t="s">
        <v>82</v>
      </c>
      <c r="C514" t="s">
        <v>483</v>
      </c>
      <c r="D514">
        <v>-1</v>
      </c>
    </row>
    <row r="515" spans="1:4" x14ac:dyDescent="0.25">
      <c r="A515" t="s">
        <v>117</v>
      </c>
      <c r="B515" t="s">
        <v>82</v>
      </c>
      <c r="C515" t="s">
        <v>486</v>
      </c>
      <c r="D515">
        <v>-1</v>
      </c>
    </row>
    <row r="516" spans="1:4" x14ac:dyDescent="0.25">
      <c r="A516" t="s">
        <v>117</v>
      </c>
      <c r="B516" t="s">
        <v>82</v>
      </c>
      <c r="C516" t="s">
        <v>487</v>
      </c>
      <c r="D516">
        <v>-1</v>
      </c>
    </row>
    <row r="517" spans="1:4" x14ac:dyDescent="0.25">
      <c r="A517" t="s">
        <v>117</v>
      </c>
      <c r="B517" t="s">
        <v>82</v>
      </c>
      <c r="C517" t="s">
        <v>493</v>
      </c>
      <c r="D517">
        <v>-1</v>
      </c>
    </row>
    <row r="518" spans="1:4" x14ac:dyDescent="0.25">
      <c r="A518" t="s">
        <v>117</v>
      </c>
      <c r="B518" t="s">
        <v>82</v>
      </c>
      <c r="C518" t="s">
        <v>496</v>
      </c>
      <c r="D518">
        <v>-1</v>
      </c>
    </row>
    <row r="519" spans="1:4" x14ac:dyDescent="0.25">
      <c r="A519" t="s">
        <v>117</v>
      </c>
      <c r="B519" t="s">
        <v>82</v>
      </c>
      <c r="C519" t="s">
        <v>499</v>
      </c>
      <c r="D519">
        <v>-1</v>
      </c>
    </row>
    <row r="520" spans="1:4" x14ac:dyDescent="0.25">
      <c r="A520" t="s">
        <v>117</v>
      </c>
      <c r="B520" t="s">
        <v>118</v>
      </c>
      <c r="C520" t="s">
        <v>479</v>
      </c>
      <c r="D520">
        <v>1</v>
      </c>
    </row>
    <row r="521" spans="1:4" x14ac:dyDescent="0.25">
      <c r="A521" t="s">
        <v>117</v>
      </c>
      <c r="B521" t="s">
        <v>118</v>
      </c>
      <c r="C521" t="s">
        <v>481</v>
      </c>
      <c r="D521">
        <v>1</v>
      </c>
    </row>
    <row r="522" spans="1:4" x14ac:dyDescent="0.25">
      <c r="A522" t="s">
        <v>117</v>
      </c>
      <c r="B522" t="s">
        <v>118</v>
      </c>
      <c r="C522" t="s">
        <v>491</v>
      </c>
      <c r="D522">
        <v>1</v>
      </c>
    </row>
    <row r="523" spans="1:4" x14ac:dyDescent="0.25">
      <c r="A523" t="s">
        <v>117</v>
      </c>
      <c r="B523" t="s">
        <v>118</v>
      </c>
      <c r="C523" t="s">
        <v>492</v>
      </c>
      <c r="D523">
        <v>1</v>
      </c>
    </row>
    <row r="524" spans="1:4" x14ac:dyDescent="0.25">
      <c r="A524" t="s">
        <v>117</v>
      </c>
      <c r="B524" t="s">
        <v>118</v>
      </c>
      <c r="C524" t="s">
        <v>483</v>
      </c>
      <c r="D524">
        <v>1</v>
      </c>
    </row>
    <row r="525" spans="1:4" x14ac:dyDescent="0.25">
      <c r="A525" t="s">
        <v>117</v>
      </c>
      <c r="B525" t="s">
        <v>118</v>
      </c>
      <c r="C525" t="s">
        <v>486</v>
      </c>
      <c r="D525">
        <v>1</v>
      </c>
    </row>
    <row r="526" spans="1:4" x14ac:dyDescent="0.25">
      <c r="A526" t="s">
        <v>117</v>
      </c>
      <c r="B526" t="s">
        <v>118</v>
      </c>
      <c r="C526" t="s">
        <v>487</v>
      </c>
      <c r="D526">
        <v>1</v>
      </c>
    </row>
    <row r="527" spans="1:4" x14ac:dyDescent="0.25">
      <c r="A527" t="s">
        <v>117</v>
      </c>
      <c r="B527" t="s">
        <v>118</v>
      </c>
      <c r="C527" t="s">
        <v>493</v>
      </c>
      <c r="D527">
        <v>1</v>
      </c>
    </row>
    <row r="528" spans="1:4" x14ac:dyDescent="0.25">
      <c r="A528" t="s">
        <v>117</v>
      </c>
      <c r="B528" t="s">
        <v>118</v>
      </c>
      <c r="C528" t="s">
        <v>496</v>
      </c>
      <c r="D528">
        <v>1</v>
      </c>
    </row>
    <row r="529" spans="1:4" x14ac:dyDescent="0.25">
      <c r="A529" t="s">
        <v>117</v>
      </c>
      <c r="B529" t="s">
        <v>118</v>
      </c>
      <c r="C529" t="s">
        <v>499</v>
      </c>
      <c r="D529">
        <v>1</v>
      </c>
    </row>
    <row r="530" spans="1:4" x14ac:dyDescent="0.25">
      <c r="A530" t="s">
        <v>74</v>
      </c>
      <c r="B530" t="s">
        <v>67</v>
      </c>
      <c r="C530" t="s">
        <v>479</v>
      </c>
      <c r="D530">
        <v>0.625</v>
      </c>
    </row>
    <row r="531" spans="1:4" x14ac:dyDescent="0.25">
      <c r="A531" t="s">
        <v>83</v>
      </c>
      <c r="B531" t="s">
        <v>67</v>
      </c>
      <c r="C531" t="s">
        <v>479</v>
      </c>
      <c r="D531">
        <v>0.625</v>
      </c>
    </row>
    <row r="532" spans="1:4" x14ac:dyDescent="0.25">
      <c r="A532" t="s">
        <v>85</v>
      </c>
      <c r="B532" t="s">
        <v>67</v>
      </c>
      <c r="C532" t="s">
        <v>479</v>
      </c>
      <c r="D532">
        <v>0.625</v>
      </c>
    </row>
    <row r="533" spans="1:4" x14ac:dyDescent="0.25">
      <c r="A533" t="s">
        <v>86</v>
      </c>
      <c r="B533" t="s">
        <v>67</v>
      </c>
      <c r="C533" t="s">
        <v>479</v>
      </c>
      <c r="D533">
        <v>0.625</v>
      </c>
    </row>
    <row r="534" spans="1:4" x14ac:dyDescent="0.25">
      <c r="A534" t="s">
        <v>74</v>
      </c>
      <c r="B534" t="s">
        <v>67</v>
      </c>
      <c r="C534" t="s">
        <v>481</v>
      </c>
      <c r="D534">
        <v>0.625</v>
      </c>
    </row>
    <row r="535" spans="1:4" x14ac:dyDescent="0.25">
      <c r="A535" t="s">
        <v>74</v>
      </c>
      <c r="B535" t="s">
        <v>67</v>
      </c>
      <c r="C535" t="s">
        <v>491</v>
      </c>
      <c r="D535">
        <v>0.625</v>
      </c>
    </row>
    <row r="536" spans="1:4" x14ac:dyDescent="0.25">
      <c r="A536" t="s">
        <v>74</v>
      </c>
      <c r="B536" t="s">
        <v>67</v>
      </c>
      <c r="C536" t="s">
        <v>492</v>
      </c>
      <c r="D536">
        <v>0.625</v>
      </c>
    </row>
    <row r="537" spans="1:4" x14ac:dyDescent="0.25">
      <c r="A537" t="s">
        <v>74</v>
      </c>
      <c r="B537" t="s">
        <v>67</v>
      </c>
      <c r="C537" t="s">
        <v>483</v>
      </c>
      <c r="D537">
        <v>0.625</v>
      </c>
    </row>
    <row r="538" spans="1:4" x14ac:dyDescent="0.25">
      <c r="A538" t="s">
        <v>74</v>
      </c>
      <c r="B538" t="s">
        <v>67</v>
      </c>
      <c r="C538" t="s">
        <v>493</v>
      </c>
      <c r="D538">
        <v>0.625</v>
      </c>
    </row>
    <row r="539" spans="1:4" x14ac:dyDescent="0.25">
      <c r="A539" t="s">
        <v>74</v>
      </c>
      <c r="B539" t="s">
        <v>67</v>
      </c>
      <c r="C539" t="s">
        <v>486</v>
      </c>
      <c r="D539">
        <v>0.625</v>
      </c>
    </row>
    <row r="540" spans="1:4" x14ac:dyDescent="0.25">
      <c r="A540" t="s">
        <v>74</v>
      </c>
      <c r="B540" t="s">
        <v>67</v>
      </c>
      <c r="C540" t="s">
        <v>487</v>
      </c>
      <c r="D540">
        <v>0.625</v>
      </c>
    </row>
    <row r="541" spans="1:4" x14ac:dyDescent="0.25">
      <c r="A541" t="s">
        <v>74</v>
      </c>
      <c r="B541" t="s">
        <v>67</v>
      </c>
      <c r="C541" t="s">
        <v>496</v>
      </c>
      <c r="D541">
        <v>0.625</v>
      </c>
    </row>
    <row r="542" spans="1:4" x14ac:dyDescent="0.25">
      <c r="A542" t="s">
        <v>74</v>
      </c>
      <c r="B542" t="s">
        <v>67</v>
      </c>
      <c r="C542" t="s">
        <v>499</v>
      </c>
      <c r="D542">
        <v>0.625</v>
      </c>
    </row>
    <row r="543" spans="1:4" x14ac:dyDescent="0.25">
      <c r="A543" t="s">
        <v>83</v>
      </c>
      <c r="B543" t="s">
        <v>67</v>
      </c>
      <c r="C543" t="s">
        <v>481</v>
      </c>
      <c r="D543">
        <v>0.625</v>
      </c>
    </row>
    <row r="544" spans="1:4" x14ac:dyDescent="0.25">
      <c r="A544" t="s">
        <v>83</v>
      </c>
      <c r="B544" t="s">
        <v>67</v>
      </c>
      <c r="C544" t="s">
        <v>491</v>
      </c>
      <c r="D544">
        <v>0.625</v>
      </c>
    </row>
    <row r="545" spans="1:4" x14ac:dyDescent="0.25">
      <c r="A545" t="s">
        <v>83</v>
      </c>
      <c r="B545" t="s">
        <v>67</v>
      </c>
      <c r="C545" t="s">
        <v>492</v>
      </c>
      <c r="D545">
        <v>0.625</v>
      </c>
    </row>
    <row r="546" spans="1:4" x14ac:dyDescent="0.25">
      <c r="A546" t="s">
        <v>83</v>
      </c>
      <c r="B546" t="s">
        <v>67</v>
      </c>
      <c r="C546" t="s">
        <v>483</v>
      </c>
      <c r="D546">
        <v>0.625</v>
      </c>
    </row>
    <row r="547" spans="1:4" x14ac:dyDescent="0.25">
      <c r="A547" t="s">
        <v>83</v>
      </c>
      <c r="B547" t="s">
        <v>67</v>
      </c>
      <c r="C547" t="s">
        <v>493</v>
      </c>
      <c r="D547">
        <v>0.625</v>
      </c>
    </row>
    <row r="548" spans="1:4" x14ac:dyDescent="0.25">
      <c r="A548" t="s">
        <v>83</v>
      </c>
      <c r="B548" t="s">
        <v>67</v>
      </c>
      <c r="C548" t="s">
        <v>486</v>
      </c>
      <c r="D548">
        <v>0.625</v>
      </c>
    </row>
    <row r="549" spans="1:4" x14ac:dyDescent="0.25">
      <c r="A549" t="s">
        <v>83</v>
      </c>
      <c r="B549" t="s">
        <v>67</v>
      </c>
      <c r="C549" t="s">
        <v>487</v>
      </c>
      <c r="D549">
        <v>0.625</v>
      </c>
    </row>
    <row r="550" spans="1:4" x14ac:dyDescent="0.25">
      <c r="A550" t="s">
        <v>83</v>
      </c>
      <c r="B550" t="s">
        <v>67</v>
      </c>
      <c r="C550" t="s">
        <v>496</v>
      </c>
      <c r="D550">
        <v>0.625</v>
      </c>
    </row>
    <row r="551" spans="1:4" x14ac:dyDescent="0.25">
      <c r="A551" t="s">
        <v>83</v>
      </c>
      <c r="B551" t="s">
        <v>67</v>
      </c>
      <c r="C551" t="s">
        <v>499</v>
      </c>
      <c r="D551">
        <v>0.625</v>
      </c>
    </row>
    <row r="552" spans="1:4" x14ac:dyDescent="0.25">
      <c r="A552" t="s">
        <v>85</v>
      </c>
      <c r="B552" t="s">
        <v>67</v>
      </c>
      <c r="C552" t="s">
        <v>481</v>
      </c>
      <c r="D552">
        <v>0.625</v>
      </c>
    </row>
    <row r="553" spans="1:4" x14ac:dyDescent="0.25">
      <c r="A553" t="s">
        <v>85</v>
      </c>
      <c r="B553" t="s">
        <v>67</v>
      </c>
      <c r="C553" t="s">
        <v>491</v>
      </c>
      <c r="D553">
        <v>0.625</v>
      </c>
    </row>
    <row r="554" spans="1:4" x14ac:dyDescent="0.25">
      <c r="A554" t="s">
        <v>85</v>
      </c>
      <c r="B554" t="s">
        <v>67</v>
      </c>
      <c r="C554" t="s">
        <v>492</v>
      </c>
      <c r="D554">
        <v>0.625</v>
      </c>
    </row>
    <row r="555" spans="1:4" x14ac:dyDescent="0.25">
      <c r="A555" t="s">
        <v>85</v>
      </c>
      <c r="B555" t="s">
        <v>67</v>
      </c>
      <c r="C555" t="s">
        <v>483</v>
      </c>
      <c r="D555">
        <v>0.625</v>
      </c>
    </row>
    <row r="556" spans="1:4" x14ac:dyDescent="0.25">
      <c r="A556" t="s">
        <v>85</v>
      </c>
      <c r="B556" t="s">
        <v>67</v>
      </c>
      <c r="C556" t="s">
        <v>493</v>
      </c>
      <c r="D556">
        <v>0.625</v>
      </c>
    </row>
    <row r="557" spans="1:4" x14ac:dyDescent="0.25">
      <c r="A557" t="s">
        <v>85</v>
      </c>
      <c r="B557" t="s">
        <v>67</v>
      </c>
      <c r="C557" t="s">
        <v>486</v>
      </c>
      <c r="D557">
        <v>0.625</v>
      </c>
    </row>
    <row r="558" spans="1:4" x14ac:dyDescent="0.25">
      <c r="A558" t="s">
        <v>85</v>
      </c>
      <c r="B558" t="s">
        <v>67</v>
      </c>
      <c r="C558" t="s">
        <v>487</v>
      </c>
      <c r="D558">
        <v>0.625</v>
      </c>
    </row>
    <row r="559" spans="1:4" x14ac:dyDescent="0.25">
      <c r="A559" t="s">
        <v>85</v>
      </c>
      <c r="B559" t="s">
        <v>67</v>
      </c>
      <c r="C559" t="s">
        <v>496</v>
      </c>
      <c r="D559">
        <v>0.625</v>
      </c>
    </row>
    <row r="560" spans="1:4" x14ac:dyDescent="0.25">
      <c r="A560" t="s">
        <v>85</v>
      </c>
      <c r="B560" t="s">
        <v>67</v>
      </c>
      <c r="C560" t="s">
        <v>499</v>
      </c>
      <c r="D560">
        <v>0.625</v>
      </c>
    </row>
    <row r="561" spans="1:4" x14ac:dyDescent="0.25">
      <c r="A561" t="s">
        <v>86</v>
      </c>
      <c r="B561" t="s">
        <v>67</v>
      </c>
      <c r="C561" t="s">
        <v>481</v>
      </c>
      <c r="D561">
        <v>0.625</v>
      </c>
    </row>
    <row r="562" spans="1:4" x14ac:dyDescent="0.25">
      <c r="A562" t="s">
        <v>86</v>
      </c>
      <c r="B562" t="s">
        <v>67</v>
      </c>
      <c r="C562" t="s">
        <v>491</v>
      </c>
      <c r="D562">
        <v>0.625</v>
      </c>
    </row>
    <row r="563" spans="1:4" x14ac:dyDescent="0.25">
      <c r="A563" t="s">
        <v>86</v>
      </c>
      <c r="B563" t="s">
        <v>67</v>
      </c>
      <c r="C563" t="s">
        <v>492</v>
      </c>
      <c r="D563">
        <v>0.625</v>
      </c>
    </row>
    <row r="564" spans="1:4" x14ac:dyDescent="0.25">
      <c r="A564" t="s">
        <v>86</v>
      </c>
      <c r="B564" t="s">
        <v>67</v>
      </c>
      <c r="C564" t="s">
        <v>483</v>
      </c>
      <c r="D564">
        <v>0.625</v>
      </c>
    </row>
    <row r="565" spans="1:4" x14ac:dyDescent="0.25">
      <c r="A565" t="s">
        <v>86</v>
      </c>
      <c r="B565" t="s">
        <v>67</v>
      </c>
      <c r="C565" t="s">
        <v>493</v>
      </c>
      <c r="D565">
        <v>0.625</v>
      </c>
    </row>
    <row r="566" spans="1:4" x14ac:dyDescent="0.25">
      <c r="A566" t="s">
        <v>86</v>
      </c>
      <c r="B566" t="s">
        <v>67</v>
      </c>
      <c r="C566" t="s">
        <v>486</v>
      </c>
      <c r="D566">
        <v>0.625</v>
      </c>
    </row>
    <row r="567" spans="1:4" x14ac:dyDescent="0.25">
      <c r="A567" t="s">
        <v>86</v>
      </c>
      <c r="B567" t="s">
        <v>67</v>
      </c>
      <c r="C567" t="s">
        <v>487</v>
      </c>
      <c r="D567">
        <v>0.625</v>
      </c>
    </row>
    <row r="568" spans="1:4" x14ac:dyDescent="0.25">
      <c r="A568" t="s">
        <v>86</v>
      </c>
      <c r="B568" t="s">
        <v>67</v>
      </c>
      <c r="C568" t="s">
        <v>496</v>
      </c>
      <c r="D568">
        <v>0.625</v>
      </c>
    </row>
    <row r="569" spans="1:4" x14ac:dyDescent="0.25">
      <c r="A569" t="s">
        <v>86</v>
      </c>
      <c r="B569" t="s">
        <v>67</v>
      </c>
      <c r="C569" t="s">
        <v>499</v>
      </c>
      <c r="D569">
        <v>0.625</v>
      </c>
    </row>
    <row r="570" spans="1:4" x14ac:dyDescent="0.25">
      <c r="A570" t="s">
        <v>74</v>
      </c>
      <c r="B570" t="s">
        <v>75</v>
      </c>
      <c r="C570" t="s">
        <v>481</v>
      </c>
      <c r="D570">
        <v>5.1999999999999998E-2</v>
      </c>
    </row>
    <row r="571" spans="1:4" x14ac:dyDescent="0.25">
      <c r="A571" t="s">
        <v>74</v>
      </c>
      <c r="B571" t="s">
        <v>75</v>
      </c>
      <c r="C571" t="s">
        <v>491</v>
      </c>
      <c r="D571">
        <v>5.1999999999999998E-2</v>
      </c>
    </row>
    <row r="572" spans="1:4" x14ac:dyDescent="0.25">
      <c r="A572" t="s">
        <v>74</v>
      </c>
      <c r="B572" t="s">
        <v>75</v>
      </c>
      <c r="C572" t="s">
        <v>492</v>
      </c>
      <c r="D572">
        <v>5.1999999999999998E-2</v>
      </c>
    </row>
    <row r="573" spans="1:4" x14ac:dyDescent="0.25">
      <c r="A573" t="s">
        <v>74</v>
      </c>
      <c r="B573" t="s">
        <v>75</v>
      </c>
      <c r="C573" t="s">
        <v>479</v>
      </c>
      <c r="D573">
        <v>5.1999999999999998E-2</v>
      </c>
    </row>
    <row r="574" spans="1:4" x14ac:dyDescent="0.25">
      <c r="A574" t="s">
        <v>83</v>
      </c>
      <c r="B574" t="s">
        <v>75</v>
      </c>
      <c r="C574" t="s">
        <v>483</v>
      </c>
      <c r="D574" s="3">
        <v>0.104</v>
      </c>
    </row>
    <row r="575" spans="1:4" x14ac:dyDescent="0.25">
      <c r="A575" t="s">
        <v>83</v>
      </c>
      <c r="B575" t="s">
        <v>75</v>
      </c>
      <c r="C575" t="s">
        <v>493</v>
      </c>
      <c r="D575">
        <v>1.8049999999999999</v>
      </c>
    </row>
    <row r="576" spans="1:4" x14ac:dyDescent="0.25">
      <c r="A576" t="s">
        <v>83</v>
      </c>
      <c r="B576" t="s">
        <v>75</v>
      </c>
      <c r="C576" t="s">
        <v>486</v>
      </c>
      <c r="D576">
        <v>1.8049999999999999</v>
      </c>
    </row>
    <row r="577" spans="1:4" x14ac:dyDescent="0.25">
      <c r="A577" t="s">
        <v>83</v>
      </c>
      <c r="B577" t="s">
        <v>75</v>
      </c>
      <c r="C577" t="s">
        <v>487</v>
      </c>
      <c r="D577">
        <v>1.8049999999999999</v>
      </c>
    </row>
    <row r="578" spans="1:4" x14ac:dyDescent="0.25">
      <c r="A578" t="s">
        <v>83</v>
      </c>
      <c r="B578" t="s">
        <v>75</v>
      </c>
      <c r="C578" t="s">
        <v>496</v>
      </c>
      <c r="D578">
        <v>1.8049999999999999</v>
      </c>
    </row>
    <row r="579" spans="1:4" x14ac:dyDescent="0.25">
      <c r="A579" t="s">
        <v>83</v>
      </c>
      <c r="B579" t="s">
        <v>75</v>
      </c>
      <c r="C579" t="s">
        <v>499</v>
      </c>
      <c r="D579">
        <v>1.8049999999999999</v>
      </c>
    </row>
    <row r="580" spans="1:4" x14ac:dyDescent="0.25">
      <c r="A580" t="s">
        <v>85</v>
      </c>
      <c r="B580" t="s">
        <v>75</v>
      </c>
      <c r="C580" t="s">
        <v>483</v>
      </c>
      <c r="D580">
        <v>0.19400000000000001</v>
      </c>
    </row>
    <row r="581" spans="1:4" x14ac:dyDescent="0.25">
      <c r="A581" t="s">
        <v>85</v>
      </c>
      <c r="B581" t="s">
        <v>75</v>
      </c>
      <c r="C581" t="s">
        <v>493</v>
      </c>
      <c r="D581">
        <v>0.19400000000000001</v>
      </c>
    </row>
    <row r="582" spans="1:4" x14ac:dyDescent="0.25">
      <c r="A582" t="s">
        <v>85</v>
      </c>
      <c r="B582" t="s">
        <v>75</v>
      </c>
      <c r="C582" t="s">
        <v>486</v>
      </c>
      <c r="D582">
        <v>0.19400000000000001</v>
      </c>
    </row>
    <row r="583" spans="1:4" x14ac:dyDescent="0.25">
      <c r="A583" t="s">
        <v>74</v>
      </c>
      <c r="B583" t="s">
        <v>5</v>
      </c>
      <c r="C583" t="s">
        <v>479</v>
      </c>
      <c r="D583">
        <v>1.0269999999999999</v>
      </c>
    </row>
    <row r="584" spans="1:4" x14ac:dyDescent="0.25">
      <c r="A584" t="s">
        <v>83</v>
      </c>
      <c r="B584" t="s">
        <v>5</v>
      </c>
      <c r="C584" t="s">
        <v>479</v>
      </c>
      <c r="D584">
        <v>1.0269999999999999</v>
      </c>
    </row>
    <row r="585" spans="1:4" x14ac:dyDescent="0.25">
      <c r="A585" t="s">
        <v>85</v>
      </c>
      <c r="B585" t="s">
        <v>5</v>
      </c>
      <c r="C585" t="s">
        <v>479</v>
      </c>
      <c r="D585">
        <v>1.0269999999999999</v>
      </c>
    </row>
    <row r="586" spans="1:4" x14ac:dyDescent="0.25">
      <c r="A586" t="s">
        <v>86</v>
      </c>
      <c r="B586" t="s">
        <v>5</v>
      </c>
      <c r="C586" t="s">
        <v>479</v>
      </c>
      <c r="D586">
        <v>1.0269999999999999</v>
      </c>
    </row>
    <row r="587" spans="1:4" x14ac:dyDescent="0.25">
      <c r="A587" t="s">
        <v>74</v>
      </c>
      <c r="B587" t="s">
        <v>5</v>
      </c>
      <c r="C587" t="s">
        <v>481</v>
      </c>
      <c r="D587">
        <v>0.995</v>
      </c>
    </row>
    <row r="588" spans="1:4" x14ac:dyDescent="0.25">
      <c r="A588" t="s">
        <v>74</v>
      </c>
      <c r="B588" t="s">
        <v>5</v>
      </c>
      <c r="C588" t="s">
        <v>491</v>
      </c>
      <c r="D588">
        <v>0.96699999999999997</v>
      </c>
    </row>
    <row r="589" spans="1:4" x14ac:dyDescent="0.25">
      <c r="A589" t="s">
        <v>74</v>
      </c>
      <c r="B589" t="s">
        <v>5</v>
      </c>
      <c r="C589" t="s">
        <v>492</v>
      </c>
      <c r="D589">
        <v>0.89200000000000002</v>
      </c>
    </row>
    <row r="590" spans="1:4" x14ac:dyDescent="0.25">
      <c r="A590" t="s">
        <v>74</v>
      </c>
      <c r="B590" t="s">
        <v>5</v>
      </c>
      <c r="C590" t="s">
        <v>483</v>
      </c>
      <c r="D590">
        <v>0.85099999999999998</v>
      </c>
    </row>
    <row r="591" spans="1:4" x14ac:dyDescent="0.25">
      <c r="A591" t="s">
        <v>74</v>
      </c>
      <c r="B591" t="s">
        <v>5</v>
      </c>
      <c r="C591" t="s">
        <v>493</v>
      </c>
      <c r="D591">
        <v>0.81</v>
      </c>
    </row>
    <row r="592" spans="1:4" x14ac:dyDescent="0.25">
      <c r="A592" t="s">
        <v>74</v>
      </c>
      <c r="B592" t="s">
        <v>5</v>
      </c>
      <c r="C592" t="s">
        <v>486</v>
      </c>
      <c r="D592">
        <v>0.78900000000000003</v>
      </c>
    </row>
    <row r="593" spans="1:4" x14ac:dyDescent="0.25">
      <c r="A593" t="s">
        <v>74</v>
      </c>
      <c r="B593" t="s">
        <v>5</v>
      </c>
      <c r="C593" t="s">
        <v>487</v>
      </c>
      <c r="D593">
        <v>0.80200000000000005</v>
      </c>
    </row>
    <row r="594" spans="1:4" x14ac:dyDescent="0.25">
      <c r="A594" t="s">
        <v>74</v>
      </c>
      <c r="B594" t="s">
        <v>5</v>
      </c>
      <c r="C594" t="s">
        <v>496</v>
      </c>
      <c r="D594">
        <v>0.80200000000000005</v>
      </c>
    </row>
    <row r="595" spans="1:4" x14ac:dyDescent="0.25">
      <c r="A595" t="s">
        <v>74</v>
      </c>
      <c r="B595" t="s">
        <v>5</v>
      </c>
      <c r="C595" t="s">
        <v>499</v>
      </c>
      <c r="D595">
        <v>0.753</v>
      </c>
    </row>
    <row r="596" spans="1:4" x14ac:dyDescent="0.25">
      <c r="A596" t="s">
        <v>83</v>
      </c>
      <c r="B596" t="s">
        <v>5</v>
      </c>
      <c r="C596" t="s">
        <v>481</v>
      </c>
      <c r="D596">
        <v>0.995</v>
      </c>
    </row>
    <row r="597" spans="1:4" x14ac:dyDescent="0.25">
      <c r="A597" t="s">
        <v>83</v>
      </c>
      <c r="B597" t="s">
        <v>5</v>
      </c>
      <c r="C597" t="s">
        <v>491</v>
      </c>
      <c r="D597">
        <v>0.96699999999999997</v>
      </c>
    </row>
    <row r="598" spans="1:4" x14ac:dyDescent="0.25">
      <c r="A598" t="s">
        <v>83</v>
      </c>
      <c r="B598" t="s">
        <v>5</v>
      </c>
      <c r="C598" t="s">
        <v>492</v>
      </c>
      <c r="D598">
        <v>0.89200000000000002</v>
      </c>
    </row>
    <row r="599" spans="1:4" x14ac:dyDescent="0.25">
      <c r="A599" t="s">
        <v>83</v>
      </c>
      <c r="B599" t="s">
        <v>5</v>
      </c>
      <c r="C599" t="s">
        <v>483</v>
      </c>
      <c r="D599">
        <v>0.85099999999999998</v>
      </c>
    </row>
    <row r="600" spans="1:4" x14ac:dyDescent="0.25">
      <c r="A600" t="s">
        <v>83</v>
      </c>
      <c r="B600" t="s">
        <v>5</v>
      </c>
      <c r="C600" t="s">
        <v>493</v>
      </c>
      <c r="D600">
        <v>0.81</v>
      </c>
    </row>
    <row r="601" spans="1:4" x14ac:dyDescent="0.25">
      <c r="A601" t="s">
        <v>83</v>
      </c>
      <c r="B601" t="s">
        <v>5</v>
      </c>
      <c r="C601" t="s">
        <v>486</v>
      </c>
      <c r="D601">
        <v>0.78900000000000003</v>
      </c>
    </row>
    <row r="602" spans="1:4" x14ac:dyDescent="0.25">
      <c r="A602" t="s">
        <v>83</v>
      </c>
      <c r="B602" t="s">
        <v>5</v>
      </c>
      <c r="C602" t="s">
        <v>487</v>
      </c>
      <c r="D602">
        <v>0.80200000000000005</v>
      </c>
    </row>
    <row r="603" spans="1:4" x14ac:dyDescent="0.25">
      <c r="A603" t="s">
        <v>83</v>
      </c>
      <c r="B603" t="s">
        <v>5</v>
      </c>
      <c r="C603" t="s">
        <v>496</v>
      </c>
      <c r="D603">
        <v>0.80200000000000005</v>
      </c>
    </row>
    <row r="604" spans="1:4" x14ac:dyDescent="0.25">
      <c r="A604" t="s">
        <v>83</v>
      </c>
      <c r="B604" t="s">
        <v>5</v>
      </c>
      <c r="C604" t="s">
        <v>499</v>
      </c>
      <c r="D604">
        <v>0.753</v>
      </c>
    </row>
    <row r="605" spans="1:4" x14ac:dyDescent="0.25">
      <c r="A605" t="s">
        <v>85</v>
      </c>
      <c r="B605" t="s">
        <v>5</v>
      </c>
      <c r="C605" t="s">
        <v>481</v>
      </c>
      <c r="D605">
        <v>0.995</v>
      </c>
    </row>
    <row r="606" spans="1:4" x14ac:dyDescent="0.25">
      <c r="A606" t="s">
        <v>85</v>
      </c>
      <c r="B606" t="s">
        <v>5</v>
      </c>
      <c r="C606" t="s">
        <v>491</v>
      </c>
      <c r="D606">
        <v>0.96699999999999997</v>
      </c>
    </row>
    <row r="607" spans="1:4" x14ac:dyDescent="0.25">
      <c r="A607" t="s">
        <v>85</v>
      </c>
      <c r="B607" t="s">
        <v>5</v>
      </c>
      <c r="C607" t="s">
        <v>492</v>
      </c>
      <c r="D607">
        <v>0.89200000000000002</v>
      </c>
    </row>
    <row r="608" spans="1:4" x14ac:dyDescent="0.25">
      <c r="A608" t="s">
        <v>85</v>
      </c>
      <c r="B608" t="s">
        <v>5</v>
      </c>
      <c r="C608" t="s">
        <v>483</v>
      </c>
      <c r="D608">
        <v>0.85099999999999998</v>
      </c>
    </row>
    <row r="609" spans="1:4" x14ac:dyDescent="0.25">
      <c r="A609" t="s">
        <v>85</v>
      </c>
      <c r="B609" t="s">
        <v>5</v>
      </c>
      <c r="C609" t="s">
        <v>493</v>
      </c>
      <c r="D609">
        <v>0.81</v>
      </c>
    </row>
    <row r="610" spans="1:4" x14ac:dyDescent="0.25">
      <c r="A610" t="s">
        <v>85</v>
      </c>
      <c r="B610" t="s">
        <v>5</v>
      </c>
      <c r="C610" t="s">
        <v>486</v>
      </c>
      <c r="D610">
        <v>0.78900000000000003</v>
      </c>
    </row>
    <row r="611" spans="1:4" x14ac:dyDescent="0.25">
      <c r="A611" t="s">
        <v>85</v>
      </c>
      <c r="B611" t="s">
        <v>5</v>
      </c>
      <c r="C611" t="s">
        <v>487</v>
      </c>
      <c r="D611">
        <v>0.80200000000000005</v>
      </c>
    </row>
    <row r="612" spans="1:4" x14ac:dyDescent="0.25">
      <c r="A612" t="s">
        <v>85</v>
      </c>
      <c r="B612" t="s">
        <v>5</v>
      </c>
      <c r="C612" t="s">
        <v>496</v>
      </c>
      <c r="D612">
        <v>0.80200000000000005</v>
      </c>
    </row>
    <row r="613" spans="1:4" x14ac:dyDescent="0.25">
      <c r="A613" t="s">
        <v>85</v>
      </c>
      <c r="B613" t="s">
        <v>5</v>
      </c>
      <c r="C613" t="s">
        <v>499</v>
      </c>
      <c r="D613">
        <v>0.753</v>
      </c>
    </row>
    <row r="614" spans="1:4" x14ac:dyDescent="0.25">
      <c r="A614" t="s">
        <v>86</v>
      </c>
      <c r="B614" t="s">
        <v>5</v>
      </c>
      <c r="C614" t="s">
        <v>481</v>
      </c>
      <c r="D614">
        <v>0.995</v>
      </c>
    </row>
    <row r="615" spans="1:4" x14ac:dyDescent="0.25">
      <c r="A615" t="s">
        <v>86</v>
      </c>
      <c r="B615" t="s">
        <v>5</v>
      </c>
      <c r="C615" t="s">
        <v>491</v>
      </c>
      <c r="D615">
        <v>0.96699999999999997</v>
      </c>
    </row>
    <row r="616" spans="1:4" x14ac:dyDescent="0.25">
      <c r="A616" t="s">
        <v>86</v>
      </c>
      <c r="B616" t="s">
        <v>5</v>
      </c>
      <c r="C616" t="s">
        <v>492</v>
      </c>
      <c r="D616">
        <v>0.89200000000000002</v>
      </c>
    </row>
    <row r="617" spans="1:4" x14ac:dyDescent="0.25">
      <c r="A617" t="s">
        <v>86</v>
      </c>
      <c r="B617" t="s">
        <v>5</v>
      </c>
      <c r="C617" t="s">
        <v>483</v>
      </c>
      <c r="D617">
        <v>0.85099999999999998</v>
      </c>
    </row>
    <row r="618" spans="1:4" x14ac:dyDescent="0.25">
      <c r="A618" t="s">
        <v>86</v>
      </c>
      <c r="B618" t="s">
        <v>5</v>
      </c>
      <c r="C618" t="s">
        <v>493</v>
      </c>
      <c r="D618">
        <v>0.81</v>
      </c>
    </row>
    <row r="619" spans="1:4" x14ac:dyDescent="0.25">
      <c r="A619" t="s">
        <v>86</v>
      </c>
      <c r="B619" t="s">
        <v>5</v>
      </c>
      <c r="C619" t="s">
        <v>486</v>
      </c>
      <c r="D619">
        <v>0.78900000000000003</v>
      </c>
    </row>
    <row r="620" spans="1:4" x14ac:dyDescent="0.25">
      <c r="A620" t="s">
        <v>86</v>
      </c>
      <c r="B620" t="s">
        <v>5</v>
      </c>
      <c r="C620" t="s">
        <v>487</v>
      </c>
      <c r="D620">
        <v>0.80200000000000005</v>
      </c>
    </row>
    <row r="621" spans="1:4" x14ac:dyDescent="0.25">
      <c r="A621" t="s">
        <v>86</v>
      </c>
      <c r="B621" t="s">
        <v>5</v>
      </c>
      <c r="C621" t="s">
        <v>496</v>
      </c>
      <c r="D621">
        <v>0.80200000000000005</v>
      </c>
    </row>
    <row r="622" spans="1:4" x14ac:dyDescent="0.25">
      <c r="A622" t="s">
        <v>86</v>
      </c>
      <c r="B622" t="s">
        <v>5</v>
      </c>
      <c r="C622" t="s">
        <v>499</v>
      </c>
      <c r="D622">
        <v>0.753</v>
      </c>
    </row>
    <row r="623" spans="1:4" x14ac:dyDescent="0.25">
      <c r="A623" t="s">
        <v>74</v>
      </c>
      <c r="B623" t="s">
        <v>82</v>
      </c>
      <c r="C623" t="s">
        <v>479</v>
      </c>
      <c r="D623">
        <v>1</v>
      </c>
    </row>
    <row r="624" spans="1:4" x14ac:dyDescent="0.25">
      <c r="A624" t="s">
        <v>83</v>
      </c>
      <c r="B624" t="s">
        <v>82</v>
      </c>
      <c r="C624" t="s">
        <v>479</v>
      </c>
      <c r="D624">
        <v>1</v>
      </c>
    </row>
    <row r="625" spans="1:4" x14ac:dyDescent="0.25">
      <c r="A625" t="s">
        <v>85</v>
      </c>
      <c r="B625" t="s">
        <v>82</v>
      </c>
      <c r="C625" t="s">
        <v>479</v>
      </c>
      <c r="D625">
        <v>1</v>
      </c>
    </row>
    <row r="626" spans="1:4" x14ac:dyDescent="0.25">
      <c r="A626" t="s">
        <v>86</v>
      </c>
      <c r="B626" t="s">
        <v>82</v>
      </c>
      <c r="C626" t="s">
        <v>479</v>
      </c>
      <c r="D626">
        <v>1</v>
      </c>
    </row>
    <row r="627" spans="1:4" x14ac:dyDescent="0.25">
      <c r="A627" t="s">
        <v>74</v>
      </c>
      <c r="B627" t="s">
        <v>82</v>
      </c>
      <c r="C627" t="s">
        <v>481</v>
      </c>
      <c r="D627">
        <v>1</v>
      </c>
    </row>
    <row r="628" spans="1:4" x14ac:dyDescent="0.25">
      <c r="A628" t="s">
        <v>83</v>
      </c>
      <c r="B628" t="s">
        <v>82</v>
      </c>
      <c r="C628" t="s">
        <v>481</v>
      </c>
      <c r="D628">
        <v>1</v>
      </c>
    </row>
    <row r="629" spans="1:4" x14ac:dyDescent="0.25">
      <c r="A629" t="s">
        <v>85</v>
      </c>
      <c r="B629" t="s">
        <v>82</v>
      </c>
      <c r="C629" t="s">
        <v>481</v>
      </c>
      <c r="D629">
        <v>1</v>
      </c>
    </row>
    <row r="630" spans="1:4" x14ac:dyDescent="0.25">
      <c r="A630" t="s">
        <v>86</v>
      </c>
      <c r="B630" t="s">
        <v>82</v>
      </c>
      <c r="C630" t="s">
        <v>481</v>
      </c>
      <c r="D630">
        <v>1</v>
      </c>
    </row>
    <row r="631" spans="1:4" x14ac:dyDescent="0.25">
      <c r="A631" t="s">
        <v>74</v>
      </c>
      <c r="B631" t="s">
        <v>82</v>
      </c>
      <c r="C631" t="s">
        <v>491</v>
      </c>
      <c r="D631">
        <v>1</v>
      </c>
    </row>
    <row r="632" spans="1:4" x14ac:dyDescent="0.25">
      <c r="A632" t="s">
        <v>83</v>
      </c>
      <c r="B632" t="s">
        <v>82</v>
      </c>
      <c r="C632" t="s">
        <v>491</v>
      </c>
      <c r="D632">
        <v>1</v>
      </c>
    </row>
    <row r="633" spans="1:4" x14ac:dyDescent="0.25">
      <c r="A633" t="s">
        <v>85</v>
      </c>
      <c r="B633" t="s">
        <v>82</v>
      </c>
      <c r="C633" t="s">
        <v>491</v>
      </c>
      <c r="D633">
        <v>1</v>
      </c>
    </row>
    <row r="634" spans="1:4" x14ac:dyDescent="0.25">
      <c r="A634" t="s">
        <v>86</v>
      </c>
      <c r="B634" t="s">
        <v>82</v>
      </c>
      <c r="C634" t="s">
        <v>491</v>
      </c>
      <c r="D634">
        <v>1</v>
      </c>
    </row>
    <row r="635" spans="1:4" x14ac:dyDescent="0.25">
      <c r="A635" t="s">
        <v>74</v>
      </c>
      <c r="B635" t="s">
        <v>82</v>
      </c>
      <c r="C635" t="s">
        <v>492</v>
      </c>
      <c r="D635">
        <v>1</v>
      </c>
    </row>
    <row r="636" spans="1:4" x14ac:dyDescent="0.25">
      <c r="A636" t="s">
        <v>83</v>
      </c>
      <c r="B636" t="s">
        <v>82</v>
      </c>
      <c r="C636" t="s">
        <v>492</v>
      </c>
      <c r="D636">
        <v>1</v>
      </c>
    </row>
    <row r="637" spans="1:4" x14ac:dyDescent="0.25">
      <c r="A637" t="s">
        <v>85</v>
      </c>
      <c r="B637" t="s">
        <v>82</v>
      </c>
      <c r="C637" t="s">
        <v>492</v>
      </c>
      <c r="D637">
        <v>1</v>
      </c>
    </row>
    <row r="638" spans="1:4" x14ac:dyDescent="0.25">
      <c r="A638" t="s">
        <v>86</v>
      </c>
      <c r="B638" t="s">
        <v>82</v>
      </c>
      <c r="C638" t="s">
        <v>492</v>
      </c>
      <c r="D638">
        <v>1</v>
      </c>
    </row>
    <row r="639" spans="1:4" x14ac:dyDescent="0.25">
      <c r="A639" t="s">
        <v>74</v>
      </c>
      <c r="B639" t="s">
        <v>82</v>
      </c>
      <c r="C639" t="s">
        <v>483</v>
      </c>
      <c r="D639">
        <v>1</v>
      </c>
    </row>
    <row r="640" spans="1:4" x14ac:dyDescent="0.25">
      <c r="A640" t="s">
        <v>83</v>
      </c>
      <c r="B640" t="s">
        <v>82</v>
      </c>
      <c r="C640" t="s">
        <v>483</v>
      </c>
      <c r="D640">
        <v>1</v>
      </c>
    </row>
    <row r="641" spans="1:4" x14ac:dyDescent="0.25">
      <c r="A641" t="s">
        <v>85</v>
      </c>
      <c r="B641" t="s">
        <v>82</v>
      </c>
      <c r="C641" t="s">
        <v>483</v>
      </c>
      <c r="D641">
        <v>1</v>
      </c>
    </row>
    <row r="642" spans="1:4" x14ac:dyDescent="0.25">
      <c r="A642" t="s">
        <v>86</v>
      </c>
      <c r="B642" t="s">
        <v>82</v>
      </c>
      <c r="C642" t="s">
        <v>483</v>
      </c>
      <c r="D642">
        <v>1</v>
      </c>
    </row>
    <row r="643" spans="1:4" x14ac:dyDescent="0.25">
      <c r="A643" t="s">
        <v>74</v>
      </c>
      <c r="B643" t="s">
        <v>82</v>
      </c>
      <c r="C643" t="s">
        <v>493</v>
      </c>
      <c r="D643">
        <v>1</v>
      </c>
    </row>
    <row r="644" spans="1:4" x14ac:dyDescent="0.25">
      <c r="A644" t="s">
        <v>83</v>
      </c>
      <c r="B644" t="s">
        <v>82</v>
      </c>
      <c r="C644" t="s">
        <v>493</v>
      </c>
      <c r="D644">
        <v>1</v>
      </c>
    </row>
    <row r="645" spans="1:4" x14ac:dyDescent="0.25">
      <c r="A645" t="s">
        <v>85</v>
      </c>
      <c r="B645" t="s">
        <v>82</v>
      </c>
      <c r="C645" t="s">
        <v>493</v>
      </c>
      <c r="D645">
        <v>1</v>
      </c>
    </row>
    <row r="646" spans="1:4" x14ac:dyDescent="0.25">
      <c r="A646" t="s">
        <v>86</v>
      </c>
      <c r="B646" t="s">
        <v>82</v>
      </c>
      <c r="C646" t="s">
        <v>493</v>
      </c>
      <c r="D646">
        <v>1</v>
      </c>
    </row>
    <row r="647" spans="1:4" x14ac:dyDescent="0.25">
      <c r="A647" t="s">
        <v>74</v>
      </c>
      <c r="B647" t="s">
        <v>82</v>
      </c>
      <c r="C647" t="s">
        <v>486</v>
      </c>
      <c r="D647">
        <v>1</v>
      </c>
    </row>
    <row r="648" spans="1:4" x14ac:dyDescent="0.25">
      <c r="A648" t="s">
        <v>83</v>
      </c>
      <c r="B648" t="s">
        <v>82</v>
      </c>
      <c r="C648" t="s">
        <v>486</v>
      </c>
      <c r="D648">
        <v>1</v>
      </c>
    </row>
    <row r="649" spans="1:4" x14ac:dyDescent="0.25">
      <c r="A649" t="s">
        <v>85</v>
      </c>
      <c r="B649" t="s">
        <v>82</v>
      </c>
      <c r="C649" t="s">
        <v>486</v>
      </c>
      <c r="D649">
        <v>1</v>
      </c>
    </row>
    <row r="650" spans="1:4" x14ac:dyDescent="0.25">
      <c r="A650" t="s">
        <v>86</v>
      </c>
      <c r="B650" t="s">
        <v>82</v>
      </c>
      <c r="C650" t="s">
        <v>486</v>
      </c>
      <c r="D650">
        <v>1</v>
      </c>
    </row>
    <row r="651" spans="1:4" x14ac:dyDescent="0.25">
      <c r="A651" t="s">
        <v>74</v>
      </c>
      <c r="B651" t="s">
        <v>82</v>
      </c>
      <c r="C651" t="s">
        <v>487</v>
      </c>
      <c r="D651">
        <v>1</v>
      </c>
    </row>
    <row r="652" spans="1:4" x14ac:dyDescent="0.25">
      <c r="A652" t="s">
        <v>83</v>
      </c>
      <c r="B652" t="s">
        <v>82</v>
      </c>
      <c r="C652" t="s">
        <v>487</v>
      </c>
      <c r="D652">
        <v>1</v>
      </c>
    </row>
    <row r="653" spans="1:4" x14ac:dyDescent="0.25">
      <c r="A653" t="s">
        <v>85</v>
      </c>
      <c r="B653" t="s">
        <v>82</v>
      </c>
      <c r="C653" t="s">
        <v>487</v>
      </c>
      <c r="D653">
        <v>1</v>
      </c>
    </row>
    <row r="654" spans="1:4" x14ac:dyDescent="0.25">
      <c r="A654" t="s">
        <v>86</v>
      </c>
      <c r="B654" t="s">
        <v>82</v>
      </c>
      <c r="C654" t="s">
        <v>487</v>
      </c>
      <c r="D654">
        <v>1</v>
      </c>
    </row>
    <row r="655" spans="1:4" x14ac:dyDescent="0.25">
      <c r="A655" t="s">
        <v>74</v>
      </c>
      <c r="B655" t="s">
        <v>82</v>
      </c>
      <c r="C655" t="s">
        <v>499</v>
      </c>
      <c r="D655">
        <v>1</v>
      </c>
    </row>
    <row r="656" spans="1:4" x14ac:dyDescent="0.25">
      <c r="A656" t="s">
        <v>83</v>
      </c>
      <c r="B656" t="s">
        <v>82</v>
      </c>
      <c r="C656" t="s">
        <v>499</v>
      </c>
      <c r="D656">
        <v>1</v>
      </c>
    </row>
    <row r="657" spans="1:4" x14ac:dyDescent="0.25">
      <c r="A657" t="s">
        <v>85</v>
      </c>
      <c r="B657" t="s">
        <v>82</v>
      </c>
      <c r="C657" t="s">
        <v>499</v>
      </c>
      <c r="D657">
        <v>1</v>
      </c>
    </row>
    <row r="658" spans="1:4" x14ac:dyDescent="0.25">
      <c r="A658" t="s">
        <v>86</v>
      </c>
      <c r="B658" t="s">
        <v>82</v>
      </c>
      <c r="C658" t="s">
        <v>499</v>
      </c>
      <c r="D658">
        <v>1</v>
      </c>
    </row>
    <row r="659" spans="1:4" x14ac:dyDescent="0.25">
      <c r="A659" t="s">
        <v>74</v>
      </c>
      <c r="B659" t="s">
        <v>82</v>
      </c>
      <c r="C659" t="s">
        <v>496</v>
      </c>
      <c r="D659">
        <v>1</v>
      </c>
    </row>
    <row r="660" spans="1:4" x14ac:dyDescent="0.25">
      <c r="A660" t="s">
        <v>83</v>
      </c>
      <c r="B660" t="s">
        <v>82</v>
      </c>
      <c r="C660" t="s">
        <v>496</v>
      </c>
      <c r="D660">
        <v>1</v>
      </c>
    </row>
    <row r="661" spans="1:4" x14ac:dyDescent="0.25">
      <c r="A661" t="s">
        <v>85</v>
      </c>
      <c r="B661" t="s">
        <v>82</v>
      </c>
      <c r="C661" t="s">
        <v>496</v>
      </c>
      <c r="D661">
        <v>1</v>
      </c>
    </row>
    <row r="662" spans="1:4" x14ac:dyDescent="0.25">
      <c r="A662" t="s">
        <v>86</v>
      </c>
      <c r="B662" t="s">
        <v>82</v>
      </c>
      <c r="C662" t="s">
        <v>496</v>
      </c>
      <c r="D662">
        <v>1</v>
      </c>
    </row>
    <row r="663" spans="1:4" x14ac:dyDescent="0.25">
      <c r="A663" t="s">
        <v>74</v>
      </c>
      <c r="B663" t="s">
        <v>80</v>
      </c>
      <c r="C663" t="s">
        <v>481</v>
      </c>
      <c r="D663">
        <v>-0.46</v>
      </c>
    </row>
    <row r="664" spans="1:4" x14ac:dyDescent="0.25">
      <c r="A664" t="s">
        <v>74</v>
      </c>
      <c r="B664" t="s">
        <v>80</v>
      </c>
      <c r="C664" t="s">
        <v>491</v>
      </c>
      <c r="D664">
        <v>-0.46</v>
      </c>
    </row>
    <row r="665" spans="1:4" x14ac:dyDescent="0.25">
      <c r="A665" t="s">
        <v>74</v>
      </c>
      <c r="B665" t="s">
        <v>80</v>
      </c>
      <c r="C665" t="s">
        <v>492</v>
      </c>
      <c r="D665">
        <v>-0.46</v>
      </c>
    </row>
    <row r="666" spans="1:4" x14ac:dyDescent="0.25">
      <c r="A666" t="s">
        <v>74</v>
      </c>
      <c r="B666" t="s">
        <v>80</v>
      </c>
      <c r="C666" t="s">
        <v>483</v>
      </c>
      <c r="D666">
        <v>-0.46</v>
      </c>
    </row>
    <row r="667" spans="1:4" x14ac:dyDescent="0.25">
      <c r="A667" t="s">
        <v>74</v>
      </c>
      <c r="B667" t="s">
        <v>80</v>
      </c>
      <c r="C667" t="s">
        <v>493</v>
      </c>
      <c r="D667">
        <v>-0.46</v>
      </c>
    </row>
    <row r="668" spans="1:4" x14ac:dyDescent="0.25">
      <c r="A668" t="s">
        <v>74</v>
      </c>
      <c r="B668" t="s">
        <v>80</v>
      </c>
      <c r="C668" t="s">
        <v>486</v>
      </c>
      <c r="D668">
        <v>-0.46</v>
      </c>
    </row>
    <row r="669" spans="1:4" x14ac:dyDescent="0.25">
      <c r="A669" t="s">
        <v>74</v>
      </c>
      <c r="B669" t="s">
        <v>80</v>
      </c>
      <c r="C669" t="s">
        <v>487</v>
      </c>
      <c r="D669">
        <v>-0.46</v>
      </c>
    </row>
    <row r="670" spans="1:4" x14ac:dyDescent="0.25">
      <c r="A670" t="s">
        <v>74</v>
      </c>
      <c r="B670" t="s">
        <v>80</v>
      </c>
      <c r="C670" t="s">
        <v>496</v>
      </c>
      <c r="D670">
        <v>-0.46</v>
      </c>
    </row>
    <row r="671" spans="1:4" x14ac:dyDescent="0.25">
      <c r="A671" t="s">
        <v>74</v>
      </c>
      <c r="B671" t="s">
        <v>80</v>
      </c>
      <c r="C671" t="s">
        <v>499</v>
      </c>
      <c r="D671">
        <v>-0.46</v>
      </c>
    </row>
    <row r="672" spans="1:4" x14ac:dyDescent="0.25">
      <c r="A672" t="s">
        <v>74</v>
      </c>
      <c r="B672" t="s">
        <v>80</v>
      </c>
      <c r="C672" t="s">
        <v>479</v>
      </c>
      <c r="D672">
        <v>-0.46</v>
      </c>
    </row>
    <row r="673" spans="1:4" x14ac:dyDescent="0.25">
      <c r="A673" t="s">
        <v>83</v>
      </c>
      <c r="B673" t="s">
        <v>80</v>
      </c>
      <c r="C673" t="s">
        <v>479</v>
      </c>
      <c r="D673">
        <v>-0.46</v>
      </c>
    </row>
    <row r="674" spans="1:4" x14ac:dyDescent="0.25">
      <c r="A674" t="s">
        <v>85</v>
      </c>
      <c r="B674" t="s">
        <v>80</v>
      </c>
      <c r="C674" t="s">
        <v>479</v>
      </c>
      <c r="D674">
        <v>-0.46</v>
      </c>
    </row>
    <row r="675" spans="1:4" x14ac:dyDescent="0.25">
      <c r="A675" t="s">
        <v>86</v>
      </c>
      <c r="B675" t="s">
        <v>80</v>
      </c>
      <c r="C675" t="s">
        <v>479</v>
      </c>
      <c r="D675">
        <v>-0.46</v>
      </c>
    </row>
    <row r="676" spans="1:4" x14ac:dyDescent="0.25">
      <c r="A676" t="s">
        <v>83</v>
      </c>
      <c r="B676" t="s">
        <v>80</v>
      </c>
      <c r="C676" t="s">
        <v>481</v>
      </c>
      <c r="D676">
        <v>-0.46</v>
      </c>
    </row>
    <row r="677" spans="1:4" x14ac:dyDescent="0.25">
      <c r="A677" t="s">
        <v>83</v>
      </c>
      <c r="B677" t="s">
        <v>80</v>
      </c>
      <c r="C677" t="s">
        <v>491</v>
      </c>
      <c r="D677">
        <v>-0.46</v>
      </c>
    </row>
    <row r="678" spans="1:4" x14ac:dyDescent="0.25">
      <c r="A678" t="s">
        <v>83</v>
      </c>
      <c r="B678" t="s">
        <v>80</v>
      </c>
      <c r="C678" t="s">
        <v>492</v>
      </c>
      <c r="D678">
        <v>-0.46</v>
      </c>
    </row>
    <row r="679" spans="1:4" x14ac:dyDescent="0.25">
      <c r="A679" t="s">
        <v>83</v>
      </c>
      <c r="B679" t="s">
        <v>80</v>
      </c>
      <c r="C679" t="s">
        <v>483</v>
      </c>
      <c r="D679">
        <v>-0.46</v>
      </c>
    </row>
    <row r="680" spans="1:4" x14ac:dyDescent="0.25">
      <c r="A680" t="s">
        <v>83</v>
      </c>
      <c r="B680" t="s">
        <v>80</v>
      </c>
      <c r="C680" t="s">
        <v>493</v>
      </c>
      <c r="D680">
        <v>-0.46</v>
      </c>
    </row>
    <row r="681" spans="1:4" x14ac:dyDescent="0.25">
      <c r="A681" t="s">
        <v>83</v>
      </c>
      <c r="B681" t="s">
        <v>80</v>
      </c>
      <c r="C681" t="s">
        <v>486</v>
      </c>
      <c r="D681">
        <v>-0.46</v>
      </c>
    </row>
    <row r="682" spans="1:4" x14ac:dyDescent="0.25">
      <c r="A682" t="s">
        <v>83</v>
      </c>
      <c r="B682" t="s">
        <v>80</v>
      </c>
      <c r="C682" t="s">
        <v>487</v>
      </c>
      <c r="D682">
        <v>-0.46</v>
      </c>
    </row>
    <row r="683" spans="1:4" x14ac:dyDescent="0.25">
      <c r="A683" t="s">
        <v>83</v>
      </c>
      <c r="B683" t="s">
        <v>80</v>
      </c>
      <c r="C683" t="s">
        <v>496</v>
      </c>
      <c r="D683">
        <v>-0.46</v>
      </c>
    </row>
    <row r="684" spans="1:4" x14ac:dyDescent="0.25">
      <c r="A684" t="s">
        <v>83</v>
      </c>
      <c r="B684" t="s">
        <v>80</v>
      </c>
      <c r="C684" t="s">
        <v>499</v>
      </c>
      <c r="D684">
        <v>-0.46</v>
      </c>
    </row>
    <row r="685" spans="1:4" x14ac:dyDescent="0.25">
      <c r="A685" t="s">
        <v>85</v>
      </c>
      <c r="B685" t="s">
        <v>80</v>
      </c>
      <c r="C685" t="s">
        <v>481</v>
      </c>
      <c r="D685">
        <v>-0.46</v>
      </c>
    </row>
    <row r="686" spans="1:4" x14ac:dyDescent="0.25">
      <c r="A686" t="s">
        <v>85</v>
      </c>
      <c r="B686" t="s">
        <v>80</v>
      </c>
      <c r="C686" t="s">
        <v>491</v>
      </c>
      <c r="D686">
        <v>-0.46</v>
      </c>
    </row>
    <row r="687" spans="1:4" x14ac:dyDescent="0.25">
      <c r="A687" t="s">
        <v>85</v>
      </c>
      <c r="B687" t="s">
        <v>80</v>
      </c>
      <c r="C687" t="s">
        <v>492</v>
      </c>
      <c r="D687">
        <v>-0.46</v>
      </c>
    </row>
    <row r="688" spans="1:4" x14ac:dyDescent="0.25">
      <c r="A688" t="s">
        <v>85</v>
      </c>
      <c r="B688" t="s">
        <v>80</v>
      </c>
      <c r="C688" t="s">
        <v>483</v>
      </c>
      <c r="D688">
        <v>-0.46</v>
      </c>
    </row>
    <row r="689" spans="1:4" x14ac:dyDescent="0.25">
      <c r="A689" t="s">
        <v>85</v>
      </c>
      <c r="B689" t="s">
        <v>80</v>
      </c>
      <c r="C689" t="s">
        <v>493</v>
      </c>
      <c r="D689">
        <v>-0.46</v>
      </c>
    </row>
    <row r="690" spans="1:4" x14ac:dyDescent="0.25">
      <c r="A690" t="s">
        <v>85</v>
      </c>
      <c r="B690" t="s">
        <v>80</v>
      </c>
      <c r="C690" t="s">
        <v>486</v>
      </c>
      <c r="D690">
        <v>-0.46</v>
      </c>
    </row>
    <row r="691" spans="1:4" x14ac:dyDescent="0.25">
      <c r="A691" t="s">
        <v>85</v>
      </c>
      <c r="B691" t="s">
        <v>80</v>
      </c>
      <c r="C691" t="s">
        <v>487</v>
      </c>
      <c r="D691">
        <v>-0.46</v>
      </c>
    </row>
    <row r="692" spans="1:4" x14ac:dyDescent="0.25">
      <c r="A692" t="s">
        <v>85</v>
      </c>
      <c r="B692" t="s">
        <v>80</v>
      </c>
      <c r="C692" t="s">
        <v>496</v>
      </c>
      <c r="D692">
        <v>-0.46</v>
      </c>
    </row>
    <row r="693" spans="1:4" x14ac:dyDescent="0.25">
      <c r="A693" t="s">
        <v>85</v>
      </c>
      <c r="B693" t="s">
        <v>80</v>
      </c>
      <c r="C693" t="s">
        <v>499</v>
      </c>
      <c r="D693">
        <v>-0.46</v>
      </c>
    </row>
    <row r="694" spans="1:4" x14ac:dyDescent="0.25">
      <c r="A694" t="s">
        <v>86</v>
      </c>
      <c r="B694" t="s">
        <v>80</v>
      </c>
      <c r="C694" t="s">
        <v>481</v>
      </c>
      <c r="D694">
        <v>-0.46</v>
      </c>
    </row>
    <row r="695" spans="1:4" x14ac:dyDescent="0.25">
      <c r="A695" t="s">
        <v>86</v>
      </c>
      <c r="B695" t="s">
        <v>80</v>
      </c>
      <c r="C695" t="s">
        <v>491</v>
      </c>
      <c r="D695">
        <v>-0.46</v>
      </c>
    </row>
    <row r="696" spans="1:4" x14ac:dyDescent="0.25">
      <c r="A696" t="s">
        <v>86</v>
      </c>
      <c r="B696" t="s">
        <v>80</v>
      </c>
      <c r="C696" t="s">
        <v>492</v>
      </c>
      <c r="D696">
        <v>-0.46</v>
      </c>
    </row>
    <row r="697" spans="1:4" x14ac:dyDescent="0.25">
      <c r="A697" t="s">
        <v>86</v>
      </c>
      <c r="B697" t="s">
        <v>80</v>
      </c>
      <c r="C697" t="s">
        <v>483</v>
      </c>
      <c r="D697">
        <v>-0.46</v>
      </c>
    </row>
    <row r="698" spans="1:4" x14ac:dyDescent="0.25">
      <c r="A698" t="s">
        <v>86</v>
      </c>
      <c r="B698" t="s">
        <v>80</v>
      </c>
      <c r="C698" t="s">
        <v>493</v>
      </c>
      <c r="D698">
        <v>-0.46</v>
      </c>
    </row>
    <row r="699" spans="1:4" x14ac:dyDescent="0.25">
      <c r="A699" t="s">
        <v>86</v>
      </c>
      <c r="B699" t="s">
        <v>80</v>
      </c>
      <c r="C699" t="s">
        <v>486</v>
      </c>
      <c r="D699">
        <v>-0.46</v>
      </c>
    </row>
    <row r="700" spans="1:4" x14ac:dyDescent="0.25">
      <c r="A700" t="s">
        <v>86</v>
      </c>
      <c r="B700" t="s">
        <v>80</v>
      </c>
      <c r="C700" t="s">
        <v>487</v>
      </c>
      <c r="D700">
        <v>-0.46</v>
      </c>
    </row>
    <row r="701" spans="1:4" x14ac:dyDescent="0.25">
      <c r="A701" t="s">
        <v>86</v>
      </c>
      <c r="B701" t="s">
        <v>80</v>
      </c>
      <c r="C701" t="s">
        <v>496</v>
      </c>
      <c r="D701">
        <v>-0.46</v>
      </c>
    </row>
    <row r="702" spans="1:4" x14ac:dyDescent="0.25">
      <c r="A702" t="s">
        <v>86</v>
      </c>
      <c r="B702" t="s">
        <v>80</v>
      </c>
      <c r="C702" t="s">
        <v>499</v>
      </c>
      <c r="D702">
        <v>-0.46</v>
      </c>
    </row>
    <row r="703" spans="1:4" x14ac:dyDescent="0.25">
      <c r="A703" t="s">
        <v>74</v>
      </c>
      <c r="B703" t="s">
        <v>72</v>
      </c>
      <c r="C703" t="s">
        <v>481</v>
      </c>
      <c r="D703">
        <v>-0.46</v>
      </c>
    </row>
    <row r="704" spans="1:4" x14ac:dyDescent="0.25">
      <c r="A704" t="s">
        <v>74</v>
      </c>
      <c r="B704" t="s">
        <v>72</v>
      </c>
      <c r="C704" t="s">
        <v>491</v>
      </c>
      <c r="D704">
        <v>-0.46</v>
      </c>
    </row>
    <row r="705" spans="1:4" x14ac:dyDescent="0.25">
      <c r="A705" t="s">
        <v>74</v>
      </c>
      <c r="B705" t="s">
        <v>72</v>
      </c>
      <c r="C705" t="s">
        <v>492</v>
      </c>
      <c r="D705">
        <v>-0.46</v>
      </c>
    </row>
    <row r="706" spans="1:4" x14ac:dyDescent="0.25">
      <c r="A706" t="s">
        <v>74</v>
      </c>
      <c r="B706" t="s">
        <v>72</v>
      </c>
      <c r="C706" t="s">
        <v>483</v>
      </c>
      <c r="D706">
        <v>-0.46</v>
      </c>
    </row>
    <row r="707" spans="1:4" x14ac:dyDescent="0.25">
      <c r="A707" t="s">
        <v>74</v>
      </c>
      <c r="B707" t="s">
        <v>72</v>
      </c>
      <c r="C707" t="s">
        <v>493</v>
      </c>
      <c r="D707">
        <v>-0.46</v>
      </c>
    </row>
    <row r="708" spans="1:4" x14ac:dyDescent="0.25">
      <c r="A708" t="s">
        <v>74</v>
      </c>
      <c r="B708" t="s">
        <v>72</v>
      </c>
      <c r="C708" t="s">
        <v>486</v>
      </c>
      <c r="D708">
        <v>-0.46</v>
      </c>
    </row>
    <row r="709" spans="1:4" x14ac:dyDescent="0.25">
      <c r="A709" t="s">
        <v>74</v>
      </c>
      <c r="B709" t="s">
        <v>72</v>
      </c>
      <c r="C709" t="s">
        <v>487</v>
      </c>
      <c r="D709">
        <v>-0.46</v>
      </c>
    </row>
    <row r="710" spans="1:4" x14ac:dyDescent="0.25">
      <c r="A710" t="s">
        <v>74</v>
      </c>
      <c r="B710" t="s">
        <v>72</v>
      </c>
      <c r="C710" t="s">
        <v>496</v>
      </c>
      <c r="D710">
        <v>-0.46</v>
      </c>
    </row>
    <row r="711" spans="1:4" x14ac:dyDescent="0.25">
      <c r="A711" t="s">
        <v>74</v>
      </c>
      <c r="B711" t="s">
        <v>72</v>
      </c>
      <c r="C711" t="s">
        <v>499</v>
      </c>
      <c r="D711">
        <v>-0.46</v>
      </c>
    </row>
    <row r="712" spans="1:4" x14ac:dyDescent="0.25">
      <c r="A712" t="s">
        <v>74</v>
      </c>
      <c r="B712" t="s">
        <v>72</v>
      </c>
      <c r="C712" t="s">
        <v>479</v>
      </c>
      <c r="D712">
        <v>-0.46</v>
      </c>
    </row>
    <row r="713" spans="1:4" x14ac:dyDescent="0.25">
      <c r="A713" t="s">
        <v>83</v>
      </c>
      <c r="B713" t="s">
        <v>72</v>
      </c>
      <c r="C713" t="s">
        <v>479</v>
      </c>
      <c r="D713">
        <v>-0.46</v>
      </c>
    </row>
    <row r="714" spans="1:4" x14ac:dyDescent="0.25">
      <c r="A714" t="s">
        <v>85</v>
      </c>
      <c r="B714" t="s">
        <v>72</v>
      </c>
      <c r="C714" t="s">
        <v>479</v>
      </c>
      <c r="D714">
        <v>-0.46</v>
      </c>
    </row>
    <row r="715" spans="1:4" x14ac:dyDescent="0.25">
      <c r="A715" t="s">
        <v>83</v>
      </c>
      <c r="B715" t="s">
        <v>72</v>
      </c>
      <c r="C715" t="s">
        <v>481</v>
      </c>
      <c r="D715">
        <v>-0.46</v>
      </c>
    </row>
    <row r="716" spans="1:4" x14ac:dyDescent="0.25">
      <c r="A716" t="s">
        <v>83</v>
      </c>
      <c r="B716" t="s">
        <v>72</v>
      </c>
      <c r="C716" t="s">
        <v>491</v>
      </c>
      <c r="D716">
        <v>-0.46</v>
      </c>
    </row>
    <row r="717" spans="1:4" x14ac:dyDescent="0.25">
      <c r="A717" t="s">
        <v>83</v>
      </c>
      <c r="B717" t="s">
        <v>72</v>
      </c>
      <c r="C717" t="s">
        <v>492</v>
      </c>
      <c r="D717">
        <v>-0.46</v>
      </c>
    </row>
    <row r="718" spans="1:4" x14ac:dyDescent="0.25">
      <c r="A718" t="s">
        <v>83</v>
      </c>
      <c r="B718" t="s">
        <v>72</v>
      </c>
      <c r="C718" t="s">
        <v>483</v>
      </c>
      <c r="D718">
        <v>-0.46</v>
      </c>
    </row>
    <row r="719" spans="1:4" x14ac:dyDescent="0.25">
      <c r="A719" t="s">
        <v>83</v>
      </c>
      <c r="B719" t="s">
        <v>72</v>
      </c>
      <c r="C719" t="s">
        <v>493</v>
      </c>
      <c r="D719">
        <v>-0.46</v>
      </c>
    </row>
    <row r="720" spans="1:4" x14ac:dyDescent="0.25">
      <c r="A720" t="s">
        <v>83</v>
      </c>
      <c r="B720" t="s">
        <v>72</v>
      </c>
      <c r="C720" t="s">
        <v>486</v>
      </c>
      <c r="D720">
        <v>-0.46</v>
      </c>
    </row>
    <row r="721" spans="1:4" x14ac:dyDescent="0.25">
      <c r="A721" t="s">
        <v>83</v>
      </c>
      <c r="B721" t="s">
        <v>72</v>
      </c>
      <c r="C721" t="s">
        <v>487</v>
      </c>
      <c r="D721">
        <v>-0.46</v>
      </c>
    </row>
    <row r="722" spans="1:4" x14ac:dyDescent="0.25">
      <c r="A722" t="s">
        <v>83</v>
      </c>
      <c r="B722" t="s">
        <v>72</v>
      </c>
      <c r="C722" t="s">
        <v>496</v>
      </c>
      <c r="D722">
        <v>-0.46</v>
      </c>
    </row>
    <row r="723" spans="1:4" x14ac:dyDescent="0.25">
      <c r="A723" t="s">
        <v>83</v>
      </c>
      <c r="B723" t="s">
        <v>72</v>
      </c>
      <c r="C723" t="s">
        <v>499</v>
      </c>
      <c r="D723">
        <v>-0.46</v>
      </c>
    </row>
    <row r="724" spans="1:4" x14ac:dyDescent="0.25">
      <c r="A724" t="s">
        <v>86</v>
      </c>
      <c r="B724" t="s">
        <v>72</v>
      </c>
      <c r="C724" t="s">
        <v>479</v>
      </c>
      <c r="D724">
        <v>-0.46</v>
      </c>
    </row>
    <row r="725" spans="1:4" x14ac:dyDescent="0.25">
      <c r="A725" t="s">
        <v>85</v>
      </c>
      <c r="B725" t="s">
        <v>72</v>
      </c>
      <c r="C725" t="s">
        <v>481</v>
      </c>
      <c r="D725">
        <v>-0.46</v>
      </c>
    </row>
    <row r="726" spans="1:4" x14ac:dyDescent="0.25">
      <c r="A726" t="s">
        <v>85</v>
      </c>
      <c r="B726" t="s">
        <v>72</v>
      </c>
      <c r="C726" t="s">
        <v>491</v>
      </c>
      <c r="D726">
        <v>-0.46</v>
      </c>
    </row>
    <row r="727" spans="1:4" x14ac:dyDescent="0.25">
      <c r="A727" t="s">
        <v>85</v>
      </c>
      <c r="B727" t="s">
        <v>72</v>
      </c>
      <c r="C727" t="s">
        <v>492</v>
      </c>
      <c r="D727">
        <v>-0.46</v>
      </c>
    </row>
    <row r="728" spans="1:4" x14ac:dyDescent="0.25">
      <c r="A728" t="s">
        <v>85</v>
      </c>
      <c r="B728" t="s">
        <v>72</v>
      </c>
      <c r="C728" t="s">
        <v>483</v>
      </c>
      <c r="D728">
        <v>-0.46</v>
      </c>
    </row>
    <row r="729" spans="1:4" x14ac:dyDescent="0.25">
      <c r="A729" t="s">
        <v>85</v>
      </c>
      <c r="B729" t="s">
        <v>72</v>
      </c>
      <c r="C729" t="s">
        <v>493</v>
      </c>
      <c r="D729">
        <v>-0.46</v>
      </c>
    </row>
    <row r="730" spans="1:4" x14ac:dyDescent="0.25">
      <c r="A730" t="s">
        <v>85</v>
      </c>
      <c r="B730" t="s">
        <v>72</v>
      </c>
      <c r="C730" t="s">
        <v>486</v>
      </c>
      <c r="D730">
        <v>-0.46</v>
      </c>
    </row>
    <row r="731" spans="1:4" x14ac:dyDescent="0.25">
      <c r="A731" t="s">
        <v>85</v>
      </c>
      <c r="B731" t="s">
        <v>72</v>
      </c>
      <c r="C731" t="s">
        <v>487</v>
      </c>
      <c r="D731">
        <v>-0.46</v>
      </c>
    </row>
    <row r="732" spans="1:4" x14ac:dyDescent="0.25">
      <c r="A732" t="s">
        <v>85</v>
      </c>
      <c r="B732" t="s">
        <v>72</v>
      </c>
      <c r="C732" t="s">
        <v>496</v>
      </c>
      <c r="D732">
        <v>-0.46</v>
      </c>
    </row>
    <row r="733" spans="1:4" x14ac:dyDescent="0.25">
      <c r="A733" t="s">
        <v>85</v>
      </c>
      <c r="B733" t="s">
        <v>72</v>
      </c>
      <c r="C733" t="s">
        <v>499</v>
      </c>
      <c r="D733">
        <v>-0.46</v>
      </c>
    </row>
    <row r="734" spans="1:4" x14ac:dyDescent="0.25">
      <c r="A734" t="s">
        <v>86</v>
      </c>
      <c r="B734" t="s">
        <v>72</v>
      </c>
      <c r="C734" t="s">
        <v>481</v>
      </c>
      <c r="D734">
        <v>-0.46</v>
      </c>
    </row>
    <row r="735" spans="1:4" x14ac:dyDescent="0.25">
      <c r="A735" t="s">
        <v>86</v>
      </c>
      <c r="B735" t="s">
        <v>72</v>
      </c>
      <c r="C735" t="s">
        <v>491</v>
      </c>
      <c r="D735">
        <v>-0.46</v>
      </c>
    </row>
    <row r="736" spans="1:4" x14ac:dyDescent="0.25">
      <c r="A736" t="s">
        <v>86</v>
      </c>
      <c r="B736" t="s">
        <v>72</v>
      </c>
      <c r="C736" t="s">
        <v>492</v>
      </c>
      <c r="D736">
        <v>-0.46</v>
      </c>
    </row>
    <row r="737" spans="1:4" x14ac:dyDescent="0.25">
      <c r="A737" t="s">
        <v>86</v>
      </c>
      <c r="B737" t="s">
        <v>72</v>
      </c>
      <c r="C737" t="s">
        <v>483</v>
      </c>
      <c r="D737">
        <v>-0.46</v>
      </c>
    </row>
    <row r="738" spans="1:4" x14ac:dyDescent="0.25">
      <c r="A738" t="s">
        <v>86</v>
      </c>
      <c r="B738" t="s">
        <v>72</v>
      </c>
      <c r="C738" t="s">
        <v>493</v>
      </c>
      <c r="D738">
        <v>-0.46</v>
      </c>
    </row>
    <row r="739" spans="1:4" x14ac:dyDescent="0.25">
      <c r="A739" t="s">
        <v>86</v>
      </c>
      <c r="B739" t="s">
        <v>72</v>
      </c>
      <c r="C739" t="s">
        <v>486</v>
      </c>
      <c r="D739">
        <v>-0.46</v>
      </c>
    </row>
    <row r="740" spans="1:4" x14ac:dyDescent="0.25">
      <c r="A740" t="s">
        <v>86</v>
      </c>
      <c r="B740" t="s">
        <v>72</v>
      </c>
      <c r="C740" t="s">
        <v>487</v>
      </c>
      <c r="D740">
        <v>-0.46</v>
      </c>
    </row>
    <row r="741" spans="1:4" x14ac:dyDescent="0.25">
      <c r="A741" t="s">
        <v>86</v>
      </c>
      <c r="B741" t="s">
        <v>72</v>
      </c>
      <c r="C741" t="s">
        <v>496</v>
      </c>
      <c r="D741">
        <v>-0.46</v>
      </c>
    </row>
    <row r="742" spans="1:4" x14ac:dyDescent="0.25">
      <c r="A742" t="s">
        <v>86</v>
      </c>
      <c r="B742" t="s">
        <v>72</v>
      </c>
      <c r="C742" t="s">
        <v>499</v>
      </c>
      <c r="D742">
        <v>-0.46</v>
      </c>
    </row>
    <row r="743" spans="1:4" x14ac:dyDescent="0.25">
      <c r="A743" t="s">
        <v>74</v>
      </c>
      <c r="B743" t="s">
        <v>81</v>
      </c>
      <c r="C743" t="s">
        <v>481</v>
      </c>
      <c r="D743">
        <v>0.33300000000000002</v>
      </c>
    </row>
    <row r="744" spans="1:4" x14ac:dyDescent="0.25">
      <c r="A744" t="s">
        <v>74</v>
      </c>
      <c r="B744" t="s">
        <v>81</v>
      </c>
      <c r="C744" t="s">
        <v>491</v>
      </c>
      <c r="D744">
        <v>0.33300000000000002</v>
      </c>
    </row>
    <row r="745" spans="1:4" x14ac:dyDescent="0.25">
      <c r="A745" t="s">
        <v>74</v>
      </c>
      <c r="B745" t="s">
        <v>81</v>
      </c>
      <c r="C745" t="s">
        <v>492</v>
      </c>
      <c r="D745">
        <v>0.33300000000000002</v>
      </c>
    </row>
    <row r="746" spans="1:4" x14ac:dyDescent="0.25">
      <c r="A746" t="s">
        <v>74</v>
      </c>
      <c r="B746" t="s">
        <v>81</v>
      </c>
      <c r="C746" t="s">
        <v>483</v>
      </c>
      <c r="D746">
        <v>0.33300000000000002</v>
      </c>
    </row>
    <row r="747" spans="1:4" x14ac:dyDescent="0.25">
      <c r="A747" t="s">
        <v>74</v>
      </c>
      <c r="B747" t="s">
        <v>81</v>
      </c>
      <c r="C747" t="s">
        <v>493</v>
      </c>
      <c r="D747">
        <v>0.33300000000000002</v>
      </c>
    </row>
    <row r="748" spans="1:4" x14ac:dyDescent="0.25">
      <c r="A748" t="s">
        <v>74</v>
      </c>
      <c r="B748" t="s">
        <v>81</v>
      </c>
      <c r="C748" t="s">
        <v>486</v>
      </c>
      <c r="D748">
        <v>0.33300000000000002</v>
      </c>
    </row>
    <row r="749" spans="1:4" x14ac:dyDescent="0.25">
      <c r="A749" t="s">
        <v>74</v>
      </c>
      <c r="B749" t="s">
        <v>81</v>
      </c>
      <c r="C749" t="s">
        <v>487</v>
      </c>
      <c r="D749">
        <v>0.33300000000000002</v>
      </c>
    </row>
    <row r="750" spans="1:4" x14ac:dyDescent="0.25">
      <c r="A750" t="s">
        <v>74</v>
      </c>
      <c r="B750" t="s">
        <v>81</v>
      </c>
      <c r="C750" t="s">
        <v>496</v>
      </c>
      <c r="D750">
        <v>0.33300000000000002</v>
      </c>
    </row>
    <row r="751" spans="1:4" x14ac:dyDescent="0.25">
      <c r="A751" t="s">
        <v>74</v>
      </c>
      <c r="B751" t="s">
        <v>81</v>
      </c>
      <c r="C751" t="s">
        <v>499</v>
      </c>
      <c r="D751">
        <v>0.33300000000000002</v>
      </c>
    </row>
    <row r="752" spans="1:4" x14ac:dyDescent="0.25">
      <c r="A752" t="s">
        <v>74</v>
      </c>
      <c r="B752" t="s">
        <v>81</v>
      </c>
      <c r="C752" t="s">
        <v>479</v>
      </c>
      <c r="D752">
        <v>0.33300000000000002</v>
      </c>
    </row>
    <row r="753" spans="1:4" x14ac:dyDescent="0.25">
      <c r="A753" t="s">
        <v>83</v>
      </c>
      <c r="B753" t="s">
        <v>81</v>
      </c>
      <c r="C753" t="s">
        <v>481</v>
      </c>
      <c r="D753">
        <v>0.33300000000000002</v>
      </c>
    </row>
    <row r="754" spans="1:4" x14ac:dyDescent="0.25">
      <c r="A754" t="s">
        <v>83</v>
      </c>
      <c r="B754" t="s">
        <v>81</v>
      </c>
      <c r="C754" t="s">
        <v>491</v>
      </c>
      <c r="D754">
        <v>0.33300000000000002</v>
      </c>
    </row>
    <row r="755" spans="1:4" x14ac:dyDescent="0.25">
      <c r="A755" t="s">
        <v>83</v>
      </c>
      <c r="B755" t="s">
        <v>81</v>
      </c>
      <c r="C755" t="s">
        <v>492</v>
      </c>
      <c r="D755">
        <v>0.33300000000000002</v>
      </c>
    </row>
    <row r="756" spans="1:4" x14ac:dyDescent="0.25">
      <c r="A756" t="s">
        <v>83</v>
      </c>
      <c r="B756" t="s">
        <v>81</v>
      </c>
      <c r="C756" t="s">
        <v>483</v>
      </c>
      <c r="D756">
        <v>0.33300000000000002</v>
      </c>
    </row>
    <row r="757" spans="1:4" x14ac:dyDescent="0.25">
      <c r="A757" t="s">
        <v>83</v>
      </c>
      <c r="B757" t="s">
        <v>81</v>
      </c>
      <c r="C757" t="s">
        <v>493</v>
      </c>
      <c r="D757">
        <v>0.33300000000000002</v>
      </c>
    </row>
    <row r="758" spans="1:4" x14ac:dyDescent="0.25">
      <c r="A758" t="s">
        <v>83</v>
      </c>
      <c r="B758" t="s">
        <v>81</v>
      </c>
      <c r="C758" t="s">
        <v>486</v>
      </c>
      <c r="D758">
        <v>0.33300000000000002</v>
      </c>
    </row>
    <row r="759" spans="1:4" x14ac:dyDescent="0.25">
      <c r="A759" t="s">
        <v>83</v>
      </c>
      <c r="B759" t="s">
        <v>81</v>
      </c>
      <c r="C759" t="s">
        <v>487</v>
      </c>
      <c r="D759">
        <v>0.33300000000000002</v>
      </c>
    </row>
    <row r="760" spans="1:4" x14ac:dyDescent="0.25">
      <c r="A760" t="s">
        <v>83</v>
      </c>
      <c r="B760" t="s">
        <v>81</v>
      </c>
      <c r="C760" t="s">
        <v>496</v>
      </c>
      <c r="D760">
        <v>0.33300000000000002</v>
      </c>
    </row>
    <row r="761" spans="1:4" x14ac:dyDescent="0.25">
      <c r="A761" t="s">
        <v>83</v>
      </c>
      <c r="B761" t="s">
        <v>81</v>
      </c>
      <c r="C761" t="s">
        <v>499</v>
      </c>
      <c r="D761">
        <v>0.33300000000000002</v>
      </c>
    </row>
    <row r="762" spans="1:4" x14ac:dyDescent="0.25">
      <c r="A762" t="s">
        <v>83</v>
      </c>
      <c r="B762" t="s">
        <v>81</v>
      </c>
      <c r="C762" t="s">
        <v>479</v>
      </c>
      <c r="D762">
        <v>0.33300000000000002</v>
      </c>
    </row>
    <row r="763" spans="1:4" x14ac:dyDescent="0.25">
      <c r="A763" t="s">
        <v>85</v>
      </c>
      <c r="B763" t="s">
        <v>81</v>
      </c>
      <c r="C763" t="s">
        <v>479</v>
      </c>
      <c r="D763">
        <v>0.33300000000000002</v>
      </c>
    </row>
    <row r="764" spans="1:4" x14ac:dyDescent="0.25">
      <c r="A764" t="s">
        <v>86</v>
      </c>
      <c r="B764" t="s">
        <v>81</v>
      </c>
      <c r="C764" t="s">
        <v>479</v>
      </c>
      <c r="D764">
        <v>0.33300000000000002</v>
      </c>
    </row>
    <row r="765" spans="1:4" x14ac:dyDescent="0.25">
      <c r="A765" t="s">
        <v>85</v>
      </c>
      <c r="B765" t="s">
        <v>81</v>
      </c>
      <c r="C765" t="s">
        <v>481</v>
      </c>
      <c r="D765">
        <v>0.33300000000000002</v>
      </c>
    </row>
    <row r="766" spans="1:4" x14ac:dyDescent="0.25">
      <c r="A766" t="s">
        <v>85</v>
      </c>
      <c r="B766" t="s">
        <v>81</v>
      </c>
      <c r="C766" t="s">
        <v>491</v>
      </c>
      <c r="D766">
        <v>0.33300000000000002</v>
      </c>
    </row>
    <row r="767" spans="1:4" x14ac:dyDescent="0.25">
      <c r="A767" t="s">
        <v>85</v>
      </c>
      <c r="B767" t="s">
        <v>81</v>
      </c>
      <c r="C767" t="s">
        <v>492</v>
      </c>
      <c r="D767">
        <v>0.33300000000000002</v>
      </c>
    </row>
    <row r="768" spans="1:4" x14ac:dyDescent="0.25">
      <c r="A768" t="s">
        <v>85</v>
      </c>
      <c r="B768" t="s">
        <v>81</v>
      </c>
      <c r="C768" t="s">
        <v>483</v>
      </c>
      <c r="D768">
        <v>0.33300000000000002</v>
      </c>
    </row>
    <row r="769" spans="1:4" x14ac:dyDescent="0.25">
      <c r="A769" t="s">
        <v>85</v>
      </c>
      <c r="B769" t="s">
        <v>81</v>
      </c>
      <c r="C769" t="s">
        <v>493</v>
      </c>
      <c r="D769">
        <v>0.33300000000000002</v>
      </c>
    </row>
    <row r="770" spans="1:4" x14ac:dyDescent="0.25">
      <c r="A770" t="s">
        <v>85</v>
      </c>
      <c r="B770" t="s">
        <v>81</v>
      </c>
      <c r="C770" t="s">
        <v>486</v>
      </c>
      <c r="D770">
        <v>0.33300000000000002</v>
      </c>
    </row>
    <row r="771" spans="1:4" x14ac:dyDescent="0.25">
      <c r="A771" t="s">
        <v>85</v>
      </c>
      <c r="B771" t="s">
        <v>81</v>
      </c>
      <c r="C771" t="s">
        <v>487</v>
      </c>
      <c r="D771">
        <v>0.33300000000000002</v>
      </c>
    </row>
    <row r="772" spans="1:4" x14ac:dyDescent="0.25">
      <c r="A772" t="s">
        <v>85</v>
      </c>
      <c r="B772" t="s">
        <v>81</v>
      </c>
      <c r="C772" t="s">
        <v>496</v>
      </c>
      <c r="D772">
        <v>0.33300000000000002</v>
      </c>
    </row>
    <row r="773" spans="1:4" x14ac:dyDescent="0.25">
      <c r="A773" t="s">
        <v>85</v>
      </c>
      <c r="B773" t="s">
        <v>81</v>
      </c>
      <c r="C773" t="s">
        <v>499</v>
      </c>
      <c r="D773">
        <v>0.33300000000000002</v>
      </c>
    </row>
    <row r="774" spans="1:4" x14ac:dyDescent="0.25">
      <c r="A774" t="s">
        <v>86</v>
      </c>
      <c r="B774" t="s">
        <v>81</v>
      </c>
      <c r="C774" t="s">
        <v>481</v>
      </c>
      <c r="D774">
        <v>0.33300000000000002</v>
      </c>
    </row>
    <row r="775" spans="1:4" x14ac:dyDescent="0.25">
      <c r="A775" t="s">
        <v>86</v>
      </c>
      <c r="B775" t="s">
        <v>81</v>
      </c>
      <c r="C775" t="s">
        <v>491</v>
      </c>
      <c r="D775">
        <v>0.33300000000000002</v>
      </c>
    </row>
    <row r="776" spans="1:4" x14ac:dyDescent="0.25">
      <c r="A776" t="s">
        <v>86</v>
      </c>
      <c r="B776" t="s">
        <v>81</v>
      </c>
      <c r="C776" t="s">
        <v>492</v>
      </c>
      <c r="D776">
        <v>0.33300000000000002</v>
      </c>
    </row>
    <row r="777" spans="1:4" x14ac:dyDescent="0.25">
      <c r="A777" t="s">
        <v>86</v>
      </c>
      <c r="B777" t="s">
        <v>81</v>
      </c>
      <c r="C777" t="s">
        <v>483</v>
      </c>
      <c r="D777">
        <v>0.33300000000000002</v>
      </c>
    </row>
    <row r="778" spans="1:4" x14ac:dyDescent="0.25">
      <c r="A778" t="s">
        <v>86</v>
      </c>
      <c r="B778" t="s">
        <v>81</v>
      </c>
      <c r="C778" t="s">
        <v>493</v>
      </c>
      <c r="D778">
        <v>0.33300000000000002</v>
      </c>
    </row>
    <row r="779" spans="1:4" x14ac:dyDescent="0.25">
      <c r="A779" t="s">
        <v>86</v>
      </c>
      <c r="B779" t="s">
        <v>81</v>
      </c>
      <c r="C779" t="s">
        <v>486</v>
      </c>
      <c r="D779">
        <v>0.33300000000000002</v>
      </c>
    </row>
    <row r="780" spans="1:4" x14ac:dyDescent="0.25">
      <c r="A780" t="s">
        <v>86</v>
      </c>
      <c r="B780" t="s">
        <v>81</v>
      </c>
      <c r="C780" t="s">
        <v>487</v>
      </c>
      <c r="D780">
        <v>0.33300000000000002</v>
      </c>
    </row>
    <row r="781" spans="1:4" x14ac:dyDescent="0.25">
      <c r="A781" t="s">
        <v>86</v>
      </c>
      <c r="B781" t="s">
        <v>81</v>
      </c>
      <c r="C781" t="s">
        <v>496</v>
      </c>
      <c r="D781">
        <v>0.33300000000000002</v>
      </c>
    </row>
    <row r="782" spans="1:4" x14ac:dyDescent="0.25">
      <c r="A782" t="s">
        <v>86</v>
      </c>
      <c r="B782" t="s">
        <v>81</v>
      </c>
      <c r="C782" t="s">
        <v>499</v>
      </c>
      <c r="D782">
        <v>0.33300000000000002</v>
      </c>
    </row>
    <row r="783" spans="1:4" x14ac:dyDescent="0.25">
      <c r="A783" t="s">
        <v>74</v>
      </c>
      <c r="B783" t="s">
        <v>63</v>
      </c>
      <c r="C783" t="s">
        <v>481</v>
      </c>
      <c r="D783">
        <v>1.8759999999999999</v>
      </c>
    </row>
    <row r="784" spans="1:4" x14ac:dyDescent="0.25">
      <c r="A784" t="s">
        <v>74</v>
      </c>
      <c r="B784" t="s">
        <v>63</v>
      </c>
      <c r="C784" t="s">
        <v>491</v>
      </c>
      <c r="D784">
        <v>1.8759999999999999</v>
      </c>
    </row>
    <row r="785" spans="1:4" x14ac:dyDescent="0.25">
      <c r="A785" t="s">
        <v>74</v>
      </c>
      <c r="B785" t="s">
        <v>63</v>
      </c>
      <c r="C785" t="s">
        <v>492</v>
      </c>
      <c r="D785">
        <v>1.8759999999999999</v>
      </c>
    </row>
    <row r="786" spans="1:4" x14ac:dyDescent="0.25">
      <c r="A786" t="s">
        <v>83</v>
      </c>
      <c r="B786" t="s">
        <v>63</v>
      </c>
      <c r="C786" t="s">
        <v>483</v>
      </c>
      <c r="D786">
        <v>1.8049999999999999</v>
      </c>
    </row>
    <row r="787" spans="1:4" x14ac:dyDescent="0.25">
      <c r="A787" t="s">
        <v>83</v>
      </c>
      <c r="B787" t="s">
        <v>63</v>
      </c>
      <c r="C787" t="s">
        <v>493</v>
      </c>
      <c r="D787">
        <v>1.8049999999999999</v>
      </c>
    </row>
    <row r="788" spans="1:4" x14ac:dyDescent="0.25">
      <c r="A788" t="s">
        <v>83</v>
      </c>
      <c r="B788" t="s">
        <v>63</v>
      </c>
      <c r="C788" t="s">
        <v>486</v>
      </c>
      <c r="D788">
        <v>1.8049999999999999</v>
      </c>
    </row>
    <row r="789" spans="1:4" x14ac:dyDescent="0.25">
      <c r="A789" t="s">
        <v>83</v>
      </c>
      <c r="B789" t="s">
        <v>63</v>
      </c>
      <c r="C789" t="s">
        <v>487</v>
      </c>
      <c r="D789">
        <v>1.8049999999999999</v>
      </c>
    </row>
    <row r="790" spans="1:4" x14ac:dyDescent="0.25">
      <c r="A790" t="s">
        <v>83</v>
      </c>
      <c r="B790" t="s">
        <v>63</v>
      </c>
      <c r="C790" t="s">
        <v>496</v>
      </c>
      <c r="D790">
        <v>1.8049999999999999</v>
      </c>
    </row>
    <row r="791" spans="1:4" x14ac:dyDescent="0.25">
      <c r="A791" t="s">
        <v>83</v>
      </c>
      <c r="B791" t="s">
        <v>63</v>
      </c>
      <c r="C791" t="s">
        <v>499</v>
      </c>
      <c r="D791">
        <v>1.8049999999999999</v>
      </c>
    </row>
    <row r="792" spans="1:4" x14ac:dyDescent="0.25">
      <c r="A792" t="s">
        <v>74</v>
      </c>
      <c r="B792" t="s">
        <v>63</v>
      </c>
      <c r="C792" t="s">
        <v>479</v>
      </c>
      <c r="D792">
        <v>1.8759999999999999</v>
      </c>
    </row>
    <row r="793" spans="1:4" x14ac:dyDescent="0.25">
      <c r="A793" t="s">
        <v>85</v>
      </c>
      <c r="B793" t="s">
        <v>63</v>
      </c>
      <c r="C793" t="s">
        <v>483</v>
      </c>
      <c r="D793">
        <v>1.5129999999999999</v>
      </c>
    </row>
    <row r="794" spans="1:4" x14ac:dyDescent="0.25">
      <c r="A794" t="s">
        <v>85</v>
      </c>
      <c r="B794" t="s">
        <v>63</v>
      </c>
      <c r="C794" t="s">
        <v>493</v>
      </c>
      <c r="D794">
        <v>1.5129999999999999</v>
      </c>
    </row>
    <row r="795" spans="1:4" x14ac:dyDescent="0.25">
      <c r="A795" t="s">
        <v>85</v>
      </c>
      <c r="B795" t="s">
        <v>63</v>
      </c>
      <c r="C795" t="s">
        <v>486</v>
      </c>
      <c r="D795">
        <v>1.5129999999999999</v>
      </c>
    </row>
    <row r="796" spans="1:4" x14ac:dyDescent="0.25">
      <c r="A796" t="s">
        <v>86</v>
      </c>
      <c r="B796" t="s">
        <v>63</v>
      </c>
      <c r="C796" t="s">
        <v>483</v>
      </c>
      <c r="D796">
        <v>1.38</v>
      </c>
    </row>
    <row r="797" spans="1:4" x14ac:dyDescent="0.25">
      <c r="A797" t="s">
        <v>86</v>
      </c>
      <c r="B797" t="s">
        <v>63</v>
      </c>
      <c r="C797" t="s">
        <v>493</v>
      </c>
      <c r="D797">
        <v>1.38</v>
      </c>
    </row>
    <row r="798" spans="1:4" x14ac:dyDescent="0.25">
      <c r="A798" t="s">
        <v>86</v>
      </c>
      <c r="B798" t="s">
        <v>63</v>
      </c>
      <c r="C798" t="s">
        <v>486</v>
      </c>
      <c r="D798">
        <v>1.38</v>
      </c>
    </row>
    <row r="799" spans="1:4" x14ac:dyDescent="0.25">
      <c r="A799" t="s">
        <v>86</v>
      </c>
      <c r="B799" t="s">
        <v>63</v>
      </c>
      <c r="C799" t="s">
        <v>487</v>
      </c>
      <c r="D799">
        <v>1.38</v>
      </c>
    </row>
    <row r="800" spans="1:4" x14ac:dyDescent="0.25">
      <c r="A800" t="s">
        <v>86</v>
      </c>
      <c r="B800" t="s">
        <v>63</v>
      </c>
      <c r="C800" t="s">
        <v>496</v>
      </c>
      <c r="D800">
        <v>1.38</v>
      </c>
    </row>
    <row r="801" spans="1:4" x14ac:dyDescent="0.25">
      <c r="A801" t="s">
        <v>86</v>
      </c>
      <c r="B801" t="s">
        <v>63</v>
      </c>
      <c r="C801" t="s">
        <v>499</v>
      </c>
      <c r="D801">
        <v>1.38</v>
      </c>
    </row>
    <row r="802" spans="1:4" x14ac:dyDescent="0.25">
      <c r="A802" t="s">
        <v>83</v>
      </c>
      <c r="B802" t="s">
        <v>84</v>
      </c>
      <c r="C802" t="s">
        <v>483</v>
      </c>
      <c r="D802">
        <v>7.0000000000000001E-3</v>
      </c>
    </row>
    <row r="803" spans="1:4" x14ac:dyDescent="0.25">
      <c r="A803" t="s">
        <v>83</v>
      </c>
      <c r="B803" t="s">
        <v>84</v>
      </c>
      <c r="C803" t="s">
        <v>493</v>
      </c>
      <c r="D803">
        <v>7.0000000000000001E-3</v>
      </c>
    </row>
    <row r="804" spans="1:4" x14ac:dyDescent="0.25">
      <c r="A804" t="s">
        <v>83</v>
      </c>
      <c r="B804" t="s">
        <v>84</v>
      </c>
      <c r="C804" t="s">
        <v>486</v>
      </c>
      <c r="D804">
        <v>7.0000000000000001E-3</v>
      </c>
    </row>
    <row r="805" spans="1:4" x14ac:dyDescent="0.25">
      <c r="A805" t="s">
        <v>83</v>
      </c>
      <c r="B805" t="s">
        <v>84</v>
      </c>
      <c r="C805" t="s">
        <v>487</v>
      </c>
      <c r="D805">
        <v>7.0000000000000001E-3</v>
      </c>
    </row>
    <row r="806" spans="1:4" x14ac:dyDescent="0.25">
      <c r="A806" t="s">
        <v>83</v>
      </c>
      <c r="B806" t="s">
        <v>84</v>
      </c>
      <c r="C806" t="s">
        <v>496</v>
      </c>
      <c r="D806">
        <v>7.0000000000000001E-3</v>
      </c>
    </row>
    <row r="807" spans="1:4" x14ac:dyDescent="0.25">
      <c r="A807" t="s">
        <v>83</v>
      </c>
      <c r="B807" t="s">
        <v>84</v>
      </c>
      <c r="C807" t="s">
        <v>499</v>
      </c>
      <c r="D807">
        <v>7.0000000000000001E-3</v>
      </c>
    </row>
    <row r="808" spans="1:4" x14ac:dyDescent="0.25">
      <c r="A808" t="s">
        <v>85</v>
      </c>
      <c r="B808" t="s">
        <v>84</v>
      </c>
      <c r="C808" t="s">
        <v>483</v>
      </c>
      <c r="D808">
        <v>1.4999999999999999E-2</v>
      </c>
    </row>
    <row r="809" spans="1:4" x14ac:dyDescent="0.25">
      <c r="A809" t="s">
        <v>85</v>
      </c>
      <c r="B809" t="s">
        <v>84</v>
      </c>
      <c r="C809" t="s">
        <v>493</v>
      </c>
      <c r="D809">
        <v>1.4999999999999999E-2</v>
      </c>
    </row>
    <row r="810" spans="1:4" x14ac:dyDescent="0.25">
      <c r="A810" t="s">
        <v>85</v>
      </c>
      <c r="B810" t="s">
        <v>84</v>
      </c>
      <c r="C810" t="s">
        <v>486</v>
      </c>
      <c r="D810">
        <v>1.4999999999999999E-2</v>
      </c>
    </row>
    <row r="811" spans="1:4" x14ac:dyDescent="0.25">
      <c r="A811" t="s">
        <v>86</v>
      </c>
      <c r="B811" t="s">
        <v>84</v>
      </c>
      <c r="C811" t="s">
        <v>483</v>
      </c>
      <c r="D811">
        <v>8.0000000000000002E-3</v>
      </c>
    </row>
    <row r="812" spans="1:4" x14ac:dyDescent="0.25">
      <c r="A812" t="s">
        <v>86</v>
      </c>
      <c r="B812" t="s">
        <v>84</v>
      </c>
      <c r="C812" t="s">
        <v>493</v>
      </c>
      <c r="D812">
        <v>8.0000000000000002E-3</v>
      </c>
    </row>
    <row r="813" spans="1:4" x14ac:dyDescent="0.25">
      <c r="A813" t="s">
        <v>86</v>
      </c>
      <c r="B813" t="s">
        <v>84</v>
      </c>
      <c r="C813" t="s">
        <v>486</v>
      </c>
      <c r="D813">
        <v>8.0000000000000002E-3</v>
      </c>
    </row>
    <row r="814" spans="1:4" x14ac:dyDescent="0.25">
      <c r="A814" t="s">
        <v>86</v>
      </c>
      <c r="B814" t="s">
        <v>84</v>
      </c>
      <c r="C814" t="s">
        <v>487</v>
      </c>
      <c r="D814">
        <v>8.0000000000000002E-3</v>
      </c>
    </row>
    <row r="815" spans="1:4" x14ac:dyDescent="0.25">
      <c r="A815" t="s">
        <v>86</v>
      </c>
      <c r="B815" t="s">
        <v>84</v>
      </c>
      <c r="C815" t="s">
        <v>496</v>
      </c>
      <c r="D815">
        <v>8.0000000000000002E-3</v>
      </c>
    </row>
    <row r="816" spans="1:4" x14ac:dyDescent="0.25">
      <c r="A816" t="s">
        <v>74</v>
      </c>
      <c r="B816" t="s">
        <v>29</v>
      </c>
      <c r="C816" t="s">
        <v>481</v>
      </c>
      <c r="D816">
        <v>0.64300000000000002</v>
      </c>
    </row>
    <row r="817" spans="1:4" x14ac:dyDescent="0.25">
      <c r="A817" t="s">
        <v>74</v>
      </c>
      <c r="B817" t="s">
        <v>29</v>
      </c>
      <c r="C817" t="s">
        <v>491</v>
      </c>
      <c r="D817">
        <v>0.64300000000000002</v>
      </c>
    </row>
    <row r="818" spans="1:4" x14ac:dyDescent="0.25">
      <c r="A818" t="s">
        <v>74</v>
      </c>
      <c r="B818" t="s">
        <v>29</v>
      </c>
      <c r="C818" t="s">
        <v>492</v>
      </c>
      <c r="D818">
        <v>0.64300000000000002</v>
      </c>
    </row>
    <row r="819" spans="1:4" x14ac:dyDescent="0.25">
      <c r="A819" t="s">
        <v>83</v>
      </c>
      <c r="B819" t="s">
        <v>29</v>
      </c>
      <c r="C819" t="s">
        <v>483</v>
      </c>
      <c r="D819">
        <v>0.84799999999999998</v>
      </c>
    </row>
    <row r="820" spans="1:4" x14ac:dyDescent="0.25">
      <c r="A820" t="s">
        <v>83</v>
      </c>
      <c r="B820" t="s">
        <v>29</v>
      </c>
      <c r="C820" t="s">
        <v>493</v>
      </c>
      <c r="D820">
        <v>0.84799999999999998</v>
      </c>
    </row>
    <row r="821" spans="1:4" x14ac:dyDescent="0.25">
      <c r="A821" t="s">
        <v>83</v>
      </c>
      <c r="B821" t="s">
        <v>29</v>
      </c>
      <c r="C821" t="s">
        <v>486</v>
      </c>
      <c r="D821">
        <v>0.84799999999999998</v>
      </c>
    </row>
    <row r="822" spans="1:4" x14ac:dyDescent="0.25">
      <c r="A822" t="s">
        <v>83</v>
      </c>
      <c r="B822" t="s">
        <v>29</v>
      </c>
      <c r="C822" t="s">
        <v>487</v>
      </c>
      <c r="D822">
        <v>0.84799999999999998</v>
      </c>
    </row>
    <row r="823" spans="1:4" x14ac:dyDescent="0.25">
      <c r="A823" t="s">
        <v>83</v>
      </c>
      <c r="B823" t="s">
        <v>29</v>
      </c>
      <c r="C823" t="s">
        <v>496</v>
      </c>
      <c r="D823">
        <v>0.84799999999999998</v>
      </c>
    </row>
    <row r="824" spans="1:4" x14ac:dyDescent="0.25">
      <c r="A824" t="s">
        <v>83</v>
      </c>
      <c r="B824" t="s">
        <v>29</v>
      </c>
      <c r="C824" t="s">
        <v>499</v>
      </c>
      <c r="D824">
        <v>0.84799999999999998</v>
      </c>
    </row>
    <row r="825" spans="1:4" x14ac:dyDescent="0.25">
      <c r="A825" t="s">
        <v>74</v>
      </c>
      <c r="B825" t="s">
        <v>29</v>
      </c>
      <c r="C825" t="s">
        <v>479</v>
      </c>
      <c r="D825">
        <v>0.64300000000000002</v>
      </c>
    </row>
    <row r="826" spans="1:4" x14ac:dyDescent="0.25">
      <c r="A826" t="s">
        <v>85</v>
      </c>
      <c r="B826" t="s">
        <v>29</v>
      </c>
      <c r="C826" t="s">
        <v>483</v>
      </c>
      <c r="D826">
        <v>0.73899999999999999</v>
      </c>
    </row>
    <row r="827" spans="1:4" x14ac:dyDescent="0.25">
      <c r="A827" t="s">
        <v>85</v>
      </c>
      <c r="B827" t="s">
        <v>29</v>
      </c>
      <c r="C827" t="s">
        <v>493</v>
      </c>
      <c r="D827">
        <v>0.73899999999999999</v>
      </c>
    </row>
    <row r="828" spans="1:4" x14ac:dyDescent="0.25">
      <c r="A828" t="s">
        <v>85</v>
      </c>
      <c r="B828" t="s">
        <v>29</v>
      </c>
      <c r="C828" t="s">
        <v>486</v>
      </c>
      <c r="D828">
        <v>0.73899999999999999</v>
      </c>
    </row>
    <row r="829" spans="1:4" x14ac:dyDescent="0.25">
      <c r="A829" t="s">
        <v>86</v>
      </c>
      <c r="B829" t="s">
        <v>29</v>
      </c>
      <c r="C829" t="s">
        <v>483</v>
      </c>
      <c r="D829">
        <v>0.65500000000000003</v>
      </c>
    </row>
    <row r="830" spans="1:4" x14ac:dyDescent="0.25">
      <c r="A830" t="s">
        <v>86</v>
      </c>
      <c r="B830" t="s">
        <v>29</v>
      </c>
      <c r="C830" t="s">
        <v>493</v>
      </c>
      <c r="D830">
        <v>0.65500000000000003</v>
      </c>
    </row>
    <row r="831" spans="1:4" x14ac:dyDescent="0.25">
      <c r="A831" t="s">
        <v>86</v>
      </c>
      <c r="B831" t="s">
        <v>29</v>
      </c>
      <c r="C831" t="s">
        <v>486</v>
      </c>
      <c r="D831">
        <v>0.65500000000000003</v>
      </c>
    </row>
    <row r="832" spans="1:4" x14ac:dyDescent="0.25">
      <c r="A832" t="s">
        <v>86</v>
      </c>
      <c r="B832" t="s">
        <v>29</v>
      </c>
      <c r="C832" t="s">
        <v>487</v>
      </c>
      <c r="D832">
        <v>0.65500000000000003</v>
      </c>
    </row>
    <row r="833" spans="1:4" x14ac:dyDescent="0.25">
      <c r="A833" t="s">
        <v>86</v>
      </c>
      <c r="B833" t="s">
        <v>29</v>
      </c>
      <c r="C833" t="s">
        <v>496</v>
      </c>
      <c r="D833">
        <v>0.65500000000000003</v>
      </c>
    </row>
    <row r="834" spans="1:4" x14ac:dyDescent="0.25">
      <c r="A834" t="s">
        <v>86</v>
      </c>
      <c r="B834" t="s">
        <v>29</v>
      </c>
      <c r="C834" t="s">
        <v>499</v>
      </c>
      <c r="D834">
        <v>0.65500000000000003</v>
      </c>
    </row>
    <row r="835" spans="1:4" x14ac:dyDescent="0.25">
      <c r="A835" t="s">
        <v>74</v>
      </c>
      <c r="B835" t="s">
        <v>33</v>
      </c>
      <c r="C835" t="s">
        <v>481</v>
      </c>
      <c r="D835">
        <v>0.23100000000000001</v>
      </c>
    </row>
    <row r="836" spans="1:4" x14ac:dyDescent="0.25">
      <c r="A836" t="s">
        <v>74</v>
      </c>
      <c r="B836" t="s">
        <v>33</v>
      </c>
      <c r="C836" t="s">
        <v>491</v>
      </c>
      <c r="D836">
        <v>0.23100000000000001</v>
      </c>
    </row>
    <row r="837" spans="1:4" x14ac:dyDescent="0.25">
      <c r="A837" t="s">
        <v>74</v>
      </c>
      <c r="B837" t="s">
        <v>33</v>
      </c>
      <c r="C837" t="s">
        <v>492</v>
      </c>
      <c r="D837">
        <v>0.23100000000000001</v>
      </c>
    </row>
    <row r="838" spans="1:4" x14ac:dyDescent="0.25">
      <c r="A838" t="s">
        <v>83</v>
      </c>
      <c r="B838" t="s">
        <v>33</v>
      </c>
      <c r="C838" t="s">
        <v>483</v>
      </c>
      <c r="D838">
        <v>0.32300000000000001</v>
      </c>
    </row>
    <row r="839" spans="1:4" x14ac:dyDescent="0.25">
      <c r="A839" t="s">
        <v>83</v>
      </c>
      <c r="B839" t="s">
        <v>33</v>
      </c>
      <c r="C839" t="s">
        <v>493</v>
      </c>
      <c r="D839">
        <v>0.32300000000000001</v>
      </c>
    </row>
    <row r="840" spans="1:4" x14ac:dyDescent="0.25">
      <c r="A840" t="s">
        <v>83</v>
      </c>
      <c r="B840" t="s">
        <v>33</v>
      </c>
      <c r="C840" t="s">
        <v>486</v>
      </c>
      <c r="D840">
        <v>0.32300000000000001</v>
      </c>
    </row>
    <row r="841" spans="1:4" x14ac:dyDescent="0.25">
      <c r="A841" t="s">
        <v>83</v>
      </c>
      <c r="B841" t="s">
        <v>33</v>
      </c>
      <c r="C841" t="s">
        <v>487</v>
      </c>
      <c r="D841">
        <v>0.32300000000000001</v>
      </c>
    </row>
    <row r="842" spans="1:4" x14ac:dyDescent="0.25">
      <c r="A842" t="s">
        <v>83</v>
      </c>
      <c r="B842" t="s">
        <v>33</v>
      </c>
      <c r="C842" t="s">
        <v>496</v>
      </c>
      <c r="D842">
        <v>0.32300000000000001</v>
      </c>
    </row>
    <row r="843" spans="1:4" x14ac:dyDescent="0.25">
      <c r="A843" t="s">
        <v>83</v>
      </c>
      <c r="B843" t="s">
        <v>33</v>
      </c>
      <c r="C843" t="s">
        <v>499</v>
      </c>
      <c r="D843">
        <v>0.32300000000000001</v>
      </c>
    </row>
    <row r="844" spans="1:4" x14ac:dyDescent="0.25">
      <c r="A844" t="s">
        <v>74</v>
      </c>
      <c r="B844" t="s">
        <v>33</v>
      </c>
      <c r="C844" s="2" t="s">
        <v>479</v>
      </c>
      <c r="D844" s="2">
        <v>0.23100000000000001</v>
      </c>
    </row>
    <row r="845" spans="1:4" x14ac:dyDescent="0.25">
      <c r="A845" t="s">
        <v>85</v>
      </c>
      <c r="B845" t="s">
        <v>33</v>
      </c>
      <c r="C845" t="s">
        <v>483</v>
      </c>
      <c r="D845">
        <v>0.52900000000000003</v>
      </c>
    </row>
    <row r="846" spans="1:4" x14ac:dyDescent="0.25">
      <c r="A846" t="s">
        <v>85</v>
      </c>
      <c r="B846" t="s">
        <v>33</v>
      </c>
      <c r="C846" t="s">
        <v>493</v>
      </c>
      <c r="D846">
        <v>0.52900000000000003</v>
      </c>
    </row>
    <row r="847" spans="1:4" x14ac:dyDescent="0.25">
      <c r="A847" t="s">
        <v>85</v>
      </c>
      <c r="B847" t="s">
        <v>33</v>
      </c>
      <c r="C847" t="s">
        <v>486</v>
      </c>
      <c r="D847">
        <v>0.52900000000000003</v>
      </c>
    </row>
    <row r="848" spans="1:4" x14ac:dyDescent="0.25">
      <c r="A848" t="s">
        <v>86</v>
      </c>
      <c r="B848" t="s">
        <v>33</v>
      </c>
      <c r="C848" t="s">
        <v>483</v>
      </c>
      <c r="D848">
        <v>0.26600000000000001</v>
      </c>
    </row>
    <row r="849" spans="1:4" x14ac:dyDescent="0.25">
      <c r="A849" t="s">
        <v>86</v>
      </c>
      <c r="B849" t="s">
        <v>33</v>
      </c>
      <c r="C849" t="s">
        <v>493</v>
      </c>
      <c r="D849">
        <v>0.26600000000000001</v>
      </c>
    </row>
    <row r="850" spans="1:4" x14ac:dyDescent="0.25">
      <c r="A850" t="s">
        <v>86</v>
      </c>
      <c r="B850" t="s">
        <v>33</v>
      </c>
      <c r="C850" t="s">
        <v>486</v>
      </c>
      <c r="D850">
        <v>0.26600000000000001</v>
      </c>
    </row>
    <row r="851" spans="1:4" x14ac:dyDescent="0.25">
      <c r="A851" t="s">
        <v>86</v>
      </c>
      <c r="B851" t="s">
        <v>33</v>
      </c>
      <c r="C851" t="s">
        <v>487</v>
      </c>
      <c r="D851">
        <v>0.26600000000000001</v>
      </c>
    </row>
    <row r="852" spans="1:4" x14ac:dyDescent="0.25">
      <c r="A852" t="s">
        <v>86</v>
      </c>
      <c r="B852" t="s">
        <v>33</v>
      </c>
      <c r="C852" t="s">
        <v>496</v>
      </c>
      <c r="D852">
        <v>0.26600000000000001</v>
      </c>
    </row>
    <row r="853" spans="1:4" x14ac:dyDescent="0.25">
      <c r="A853" t="s">
        <v>86</v>
      </c>
      <c r="B853" t="s">
        <v>33</v>
      </c>
      <c r="C853" t="s">
        <v>499</v>
      </c>
      <c r="D853">
        <v>0.26600000000000001</v>
      </c>
    </row>
    <row r="854" spans="1:4" x14ac:dyDescent="0.25">
      <c r="A854" t="s">
        <v>86</v>
      </c>
      <c r="B854" t="s">
        <v>614</v>
      </c>
      <c r="C854" t="s">
        <v>483</v>
      </c>
      <c r="D854">
        <v>0.71699999999999997</v>
      </c>
    </row>
    <row r="855" spans="1:4" x14ac:dyDescent="0.25">
      <c r="A855" t="s">
        <v>86</v>
      </c>
      <c r="B855" t="s">
        <v>614</v>
      </c>
      <c r="C855" t="s">
        <v>493</v>
      </c>
      <c r="D855">
        <v>0.71699999999999997</v>
      </c>
    </row>
    <row r="856" spans="1:4" x14ac:dyDescent="0.25">
      <c r="A856" t="s">
        <v>86</v>
      </c>
      <c r="B856" t="s">
        <v>614</v>
      </c>
      <c r="C856" t="s">
        <v>486</v>
      </c>
      <c r="D856">
        <v>0.71699999999999997</v>
      </c>
    </row>
    <row r="857" spans="1:4" x14ac:dyDescent="0.25">
      <c r="A857" t="s">
        <v>86</v>
      </c>
      <c r="B857" t="s">
        <v>614</v>
      </c>
      <c r="C857" t="s">
        <v>487</v>
      </c>
      <c r="D857">
        <v>0.71699999999999997</v>
      </c>
    </row>
    <row r="858" spans="1:4" x14ac:dyDescent="0.25">
      <c r="A858" t="s">
        <v>86</v>
      </c>
      <c r="B858" t="s">
        <v>614</v>
      </c>
      <c r="C858" t="s">
        <v>496</v>
      </c>
      <c r="D858">
        <v>0.71699999999999997</v>
      </c>
    </row>
    <row r="859" spans="1:4" x14ac:dyDescent="0.25">
      <c r="A859" t="s">
        <v>86</v>
      </c>
      <c r="B859" t="s">
        <v>614</v>
      </c>
      <c r="C859" t="s">
        <v>499</v>
      </c>
      <c r="D859">
        <v>0.71699999999999997</v>
      </c>
    </row>
    <row r="860" spans="1:4" x14ac:dyDescent="0.25">
      <c r="A860" t="s">
        <v>74</v>
      </c>
      <c r="B860" t="s">
        <v>22</v>
      </c>
      <c r="C860" t="s">
        <v>481</v>
      </c>
      <c r="D860">
        <v>6.5000000000000002E-2</v>
      </c>
    </row>
    <row r="861" spans="1:4" x14ac:dyDescent="0.25">
      <c r="A861" t="s">
        <v>74</v>
      </c>
      <c r="B861" t="s">
        <v>22</v>
      </c>
      <c r="C861" t="s">
        <v>491</v>
      </c>
      <c r="D861">
        <v>6.3E-2</v>
      </c>
    </row>
    <row r="862" spans="1:4" x14ac:dyDescent="0.25">
      <c r="A862" t="s">
        <v>74</v>
      </c>
      <c r="B862" t="s">
        <v>22</v>
      </c>
      <c r="C862" t="s">
        <v>492</v>
      </c>
      <c r="D862">
        <v>0.06</v>
      </c>
    </row>
    <row r="863" spans="1:4" x14ac:dyDescent="0.25">
      <c r="A863" t="s">
        <v>74</v>
      </c>
      <c r="B863" t="s">
        <v>22</v>
      </c>
      <c r="C863" t="s">
        <v>483</v>
      </c>
      <c r="D863">
        <v>5.5E-2</v>
      </c>
    </row>
    <row r="864" spans="1:4" x14ac:dyDescent="0.25">
      <c r="A864" t="s">
        <v>74</v>
      </c>
      <c r="B864" t="s">
        <v>22</v>
      </c>
      <c r="C864" t="s">
        <v>493</v>
      </c>
      <c r="D864">
        <v>5.5E-2</v>
      </c>
    </row>
    <row r="865" spans="1:4" x14ac:dyDescent="0.25">
      <c r="A865" t="s">
        <v>74</v>
      </c>
      <c r="B865" t="s">
        <v>22</v>
      </c>
      <c r="C865" t="s">
        <v>486</v>
      </c>
      <c r="D865">
        <v>0.05</v>
      </c>
    </row>
    <row r="866" spans="1:4" x14ac:dyDescent="0.25">
      <c r="A866" t="s">
        <v>74</v>
      </c>
      <c r="B866" t="s">
        <v>22</v>
      </c>
      <c r="C866" t="s">
        <v>487</v>
      </c>
      <c r="D866">
        <v>0.05</v>
      </c>
    </row>
    <row r="867" spans="1:4" x14ac:dyDescent="0.25">
      <c r="A867" t="s">
        <v>74</v>
      </c>
      <c r="B867" t="s">
        <v>22</v>
      </c>
      <c r="C867" t="s">
        <v>496</v>
      </c>
      <c r="D867">
        <v>4.4999999999999998E-2</v>
      </c>
    </row>
    <row r="868" spans="1:4" x14ac:dyDescent="0.25">
      <c r="A868" t="s">
        <v>74</v>
      </c>
      <c r="B868" t="s">
        <v>22</v>
      </c>
      <c r="C868" t="s">
        <v>499</v>
      </c>
      <c r="D868">
        <v>4.4999999999999998E-2</v>
      </c>
    </row>
    <row r="869" spans="1:4" x14ac:dyDescent="0.25">
      <c r="A869" t="s">
        <v>83</v>
      </c>
      <c r="B869" t="s">
        <v>22</v>
      </c>
      <c r="C869" t="s">
        <v>481</v>
      </c>
      <c r="D869">
        <v>6.5000000000000002E-2</v>
      </c>
    </row>
    <row r="870" spans="1:4" x14ac:dyDescent="0.25">
      <c r="A870" t="s">
        <v>83</v>
      </c>
      <c r="B870" t="s">
        <v>22</v>
      </c>
      <c r="C870" t="s">
        <v>491</v>
      </c>
      <c r="D870">
        <v>6.3E-2</v>
      </c>
    </row>
    <row r="871" spans="1:4" x14ac:dyDescent="0.25">
      <c r="A871" t="s">
        <v>83</v>
      </c>
      <c r="B871" t="s">
        <v>22</v>
      </c>
      <c r="C871" t="s">
        <v>492</v>
      </c>
      <c r="D871">
        <v>0.06</v>
      </c>
    </row>
    <row r="872" spans="1:4" x14ac:dyDescent="0.25">
      <c r="A872" t="s">
        <v>83</v>
      </c>
      <c r="B872" t="s">
        <v>22</v>
      </c>
      <c r="C872" t="s">
        <v>483</v>
      </c>
      <c r="D872">
        <v>5.5E-2</v>
      </c>
    </row>
    <row r="873" spans="1:4" x14ac:dyDescent="0.25">
      <c r="A873" t="s">
        <v>83</v>
      </c>
      <c r="B873" t="s">
        <v>22</v>
      </c>
      <c r="C873" t="s">
        <v>493</v>
      </c>
      <c r="D873">
        <v>5.5E-2</v>
      </c>
    </row>
    <row r="874" spans="1:4" x14ac:dyDescent="0.25">
      <c r="A874" t="s">
        <v>83</v>
      </c>
      <c r="B874" t="s">
        <v>22</v>
      </c>
      <c r="C874" t="s">
        <v>486</v>
      </c>
      <c r="D874">
        <v>0.05</v>
      </c>
    </row>
    <row r="875" spans="1:4" x14ac:dyDescent="0.25">
      <c r="A875" t="s">
        <v>83</v>
      </c>
      <c r="B875" t="s">
        <v>22</v>
      </c>
      <c r="C875" t="s">
        <v>487</v>
      </c>
      <c r="D875">
        <v>0.05</v>
      </c>
    </row>
    <row r="876" spans="1:4" x14ac:dyDescent="0.25">
      <c r="A876" t="s">
        <v>83</v>
      </c>
      <c r="B876" t="s">
        <v>22</v>
      </c>
      <c r="C876" t="s">
        <v>496</v>
      </c>
      <c r="D876">
        <v>4.4999999999999998E-2</v>
      </c>
    </row>
    <row r="877" spans="1:4" x14ac:dyDescent="0.25">
      <c r="A877" t="s">
        <v>83</v>
      </c>
      <c r="B877" t="s">
        <v>22</v>
      </c>
      <c r="C877" t="s">
        <v>499</v>
      </c>
      <c r="D877">
        <v>4.4999999999999998E-2</v>
      </c>
    </row>
    <row r="878" spans="1:4" x14ac:dyDescent="0.25">
      <c r="A878" t="s">
        <v>74</v>
      </c>
      <c r="B878" t="s">
        <v>22</v>
      </c>
      <c r="C878" t="s">
        <v>479</v>
      </c>
      <c r="D878">
        <v>7.0000000000000007E-2</v>
      </c>
    </row>
    <row r="879" spans="1:4" x14ac:dyDescent="0.25">
      <c r="A879" t="s">
        <v>83</v>
      </c>
      <c r="B879" t="s">
        <v>22</v>
      </c>
      <c r="C879" t="s">
        <v>479</v>
      </c>
      <c r="D879">
        <v>7.0000000000000007E-2</v>
      </c>
    </row>
    <row r="880" spans="1:4" x14ac:dyDescent="0.25">
      <c r="A880" t="s">
        <v>85</v>
      </c>
      <c r="B880" t="s">
        <v>22</v>
      </c>
      <c r="C880" t="s">
        <v>479</v>
      </c>
      <c r="D880">
        <v>7.0000000000000007E-2</v>
      </c>
    </row>
    <row r="881" spans="1:4" x14ac:dyDescent="0.25">
      <c r="A881" t="s">
        <v>86</v>
      </c>
      <c r="B881" t="s">
        <v>22</v>
      </c>
      <c r="C881" t="s">
        <v>479</v>
      </c>
      <c r="D881">
        <v>7.0000000000000007E-2</v>
      </c>
    </row>
    <row r="882" spans="1:4" x14ac:dyDescent="0.25">
      <c r="A882" t="s">
        <v>85</v>
      </c>
      <c r="B882" t="s">
        <v>22</v>
      </c>
      <c r="C882" t="s">
        <v>481</v>
      </c>
      <c r="D882">
        <v>6.5000000000000002E-2</v>
      </c>
    </row>
    <row r="883" spans="1:4" x14ac:dyDescent="0.25">
      <c r="A883" t="s">
        <v>85</v>
      </c>
      <c r="B883" t="s">
        <v>22</v>
      </c>
      <c r="C883" t="s">
        <v>491</v>
      </c>
      <c r="D883">
        <v>6.3E-2</v>
      </c>
    </row>
    <row r="884" spans="1:4" x14ac:dyDescent="0.25">
      <c r="A884" t="s">
        <v>85</v>
      </c>
      <c r="B884" t="s">
        <v>22</v>
      </c>
      <c r="C884" t="s">
        <v>492</v>
      </c>
      <c r="D884">
        <v>0.06</v>
      </c>
    </row>
    <row r="885" spans="1:4" x14ac:dyDescent="0.25">
      <c r="A885" t="s">
        <v>85</v>
      </c>
      <c r="B885" t="s">
        <v>22</v>
      </c>
      <c r="C885" t="s">
        <v>483</v>
      </c>
      <c r="D885">
        <v>5.5E-2</v>
      </c>
    </row>
    <row r="886" spans="1:4" x14ac:dyDescent="0.25">
      <c r="A886" t="s">
        <v>85</v>
      </c>
      <c r="B886" t="s">
        <v>22</v>
      </c>
      <c r="C886" t="s">
        <v>493</v>
      </c>
      <c r="D886">
        <v>5.5E-2</v>
      </c>
    </row>
    <row r="887" spans="1:4" x14ac:dyDescent="0.25">
      <c r="A887" t="s">
        <v>85</v>
      </c>
      <c r="B887" t="s">
        <v>22</v>
      </c>
      <c r="C887" t="s">
        <v>486</v>
      </c>
      <c r="D887">
        <v>0.05</v>
      </c>
    </row>
    <row r="888" spans="1:4" x14ac:dyDescent="0.25">
      <c r="A888" t="s">
        <v>85</v>
      </c>
      <c r="B888" t="s">
        <v>22</v>
      </c>
      <c r="C888" t="s">
        <v>487</v>
      </c>
      <c r="D888">
        <v>0.05</v>
      </c>
    </row>
    <row r="889" spans="1:4" x14ac:dyDescent="0.25">
      <c r="A889" t="s">
        <v>85</v>
      </c>
      <c r="B889" t="s">
        <v>22</v>
      </c>
      <c r="C889" t="s">
        <v>496</v>
      </c>
      <c r="D889">
        <v>4.4999999999999998E-2</v>
      </c>
    </row>
    <row r="890" spans="1:4" x14ac:dyDescent="0.25">
      <c r="A890" t="s">
        <v>85</v>
      </c>
      <c r="B890" t="s">
        <v>22</v>
      </c>
      <c r="C890" t="s">
        <v>499</v>
      </c>
      <c r="D890">
        <v>4.4999999999999998E-2</v>
      </c>
    </row>
    <row r="891" spans="1:4" x14ac:dyDescent="0.25">
      <c r="A891" t="s">
        <v>86</v>
      </c>
      <c r="B891" t="s">
        <v>22</v>
      </c>
      <c r="C891" t="s">
        <v>481</v>
      </c>
      <c r="D891">
        <v>6.5000000000000002E-2</v>
      </c>
    </row>
    <row r="892" spans="1:4" x14ac:dyDescent="0.25">
      <c r="A892" t="s">
        <v>86</v>
      </c>
      <c r="B892" t="s">
        <v>22</v>
      </c>
      <c r="C892" t="s">
        <v>491</v>
      </c>
      <c r="D892">
        <v>6.3E-2</v>
      </c>
    </row>
    <row r="893" spans="1:4" x14ac:dyDescent="0.25">
      <c r="A893" t="s">
        <v>86</v>
      </c>
      <c r="B893" t="s">
        <v>22</v>
      </c>
      <c r="C893" t="s">
        <v>492</v>
      </c>
      <c r="D893">
        <v>0.06</v>
      </c>
    </row>
    <row r="894" spans="1:4" x14ac:dyDescent="0.25">
      <c r="A894" t="s">
        <v>86</v>
      </c>
      <c r="B894" t="s">
        <v>22</v>
      </c>
      <c r="C894" t="s">
        <v>483</v>
      </c>
      <c r="D894">
        <v>5.5E-2</v>
      </c>
    </row>
    <row r="895" spans="1:4" x14ac:dyDescent="0.25">
      <c r="A895" t="s">
        <v>86</v>
      </c>
      <c r="B895" t="s">
        <v>22</v>
      </c>
      <c r="C895" t="s">
        <v>493</v>
      </c>
      <c r="D895">
        <v>5.5E-2</v>
      </c>
    </row>
    <row r="896" spans="1:4" x14ac:dyDescent="0.25">
      <c r="A896" t="s">
        <v>86</v>
      </c>
      <c r="B896" t="s">
        <v>22</v>
      </c>
      <c r="C896" t="s">
        <v>486</v>
      </c>
      <c r="D896">
        <v>0.05</v>
      </c>
    </row>
    <row r="897" spans="1:4" x14ac:dyDescent="0.25">
      <c r="A897" t="s">
        <v>86</v>
      </c>
      <c r="B897" t="s">
        <v>22</v>
      </c>
      <c r="C897" t="s">
        <v>487</v>
      </c>
      <c r="D897">
        <v>0.05</v>
      </c>
    </row>
    <row r="898" spans="1:4" x14ac:dyDescent="0.25">
      <c r="A898" t="s">
        <v>86</v>
      </c>
      <c r="B898" t="s">
        <v>22</v>
      </c>
      <c r="C898" t="s">
        <v>496</v>
      </c>
      <c r="D898">
        <v>4.4999999999999998E-2</v>
      </c>
    </row>
    <row r="899" spans="1:4" x14ac:dyDescent="0.25">
      <c r="A899" t="s">
        <v>86</v>
      </c>
      <c r="B899" t="s">
        <v>22</v>
      </c>
      <c r="C899" t="s">
        <v>499</v>
      </c>
      <c r="D899">
        <v>4.4999999999999998E-2</v>
      </c>
    </row>
    <row r="900" spans="1:4" x14ac:dyDescent="0.25">
      <c r="A900" t="s">
        <v>74</v>
      </c>
      <c r="B900" t="s">
        <v>76</v>
      </c>
      <c r="C900" t="s">
        <v>481</v>
      </c>
      <c r="D900">
        <v>-8.1379999999999999</v>
      </c>
    </row>
    <row r="901" spans="1:4" x14ac:dyDescent="0.25">
      <c r="A901" t="s">
        <v>74</v>
      </c>
      <c r="B901" t="s">
        <v>76</v>
      </c>
      <c r="C901" t="s">
        <v>491</v>
      </c>
      <c r="D901">
        <v>-8.1379999999999999</v>
      </c>
    </row>
    <row r="902" spans="1:4" x14ac:dyDescent="0.25">
      <c r="A902" t="s">
        <v>74</v>
      </c>
      <c r="B902" t="s">
        <v>76</v>
      </c>
      <c r="C902" t="s">
        <v>492</v>
      </c>
      <c r="D902">
        <v>-8.1379999999999999</v>
      </c>
    </row>
    <row r="903" spans="1:4" x14ac:dyDescent="0.25">
      <c r="A903" t="s">
        <v>83</v>
      </c>
      <c r="B903" t="s">
        <v>76</v>
      </c>
      <c r="C903" t="s">
        <v>483</v>
      </c>
      <c r="D903">
        <v>-7.8259999999999996</v>
      </c>
    </row>
    <row r="904" spans="1:4" x14ac:dyDescent="0.25">
      <c r="A904" t="s">
        <v>83</v>
      </c>
      <c r="B904" t="s">
        <v>76</v>
      </c>
      <c r="C904" t="s">
        <v>493</v>
      </c>
      <c r="D904">
        <v>-7.8259999999999996</v>
      </c>
    </row>
    <row r="905" spans="1:4" x14ac:dyDescent="0.25">
      <c r="A905" t="s">
        <v>83</v>
      </c>
      <c r="B905" t="s">
        <v>76</v>
      </c>
      <c r="C905" t="s">
        <v>486</v>
      </c>
      <c r="D905">
        <v>-7.8259999999999996</v>
      </c>
    </row>
    <row r="906" spans="1:4" x14ac:dyDescent="0.25">
      <c r="A906" t="s">
        <v>83</v>
      </c>
      <c r="B906" t="s">
        <v>76</v>
      </c>
      <c r="C906" t="s">
        <v>487</v>
      </c>
      <c r="D906">
        <v>-7.8259999999999996</v>
      </c>
    </row>
    <row r="907" spans="1:4" x14ac:dyDescent="0.25">
      <c r="A907" t="s">
        <v>83</v>
      </c>
      <c r="B907" t="s">
        <v>76</v>
      </c>
      <c r="C907" t="s">
        <v>496</v>
      </c>
      <c r="D907">
        <v>-7.8259999999999996</v>
      </c>
    </row>
    <row r="908" spans="1:4" x14ac:dyDescent="0.25">
      <c r="A908" t="s">
        <v>83</v>
      </c>
      <c r="B908" t="s">
        <v>76</v>
      </c>
      <c r="C908" t="s">
        <v>499</v>
      </c>
      <c r="D908">
        <v>-7.8259999999999996</v>
      </c>
    </row>
    <row r="909" spans="1:4" x14ac:dyDescent="0.25">
      <c r="A909" t="s">
        <v>85</v>
      </c>
      <c r="B909" t="s">
        <v>76</v>
      </c>
      <c r="C909" t="s">
        <v>483</v>
      </c>
      <c r="D909">
        <v>-8.1120000000000001</v>
      </c>
    </row>
    <row r="910" spans="1:4" x14ac:dyDescent="0.25">
      <c r="A910" t="s">
        <v>85</v>
      </c>
      <c r="B910" t="s">
        <v>76</v>
      </c>
      <c r="C910" t="s">
        <v>493</v>
      </c>
      <c r="D910">
        <v>-8.1120000000000001</v>
      </c>
    </row>
    <row r="911" spans="1:4" x14ac:dyDescent="0.25">
      <c r="A911" t="s">
        <v>85</v>
      </c>
      <c r="B911" t="s">
        <v>76</v>
      </c>
      <c r="C911" t="s">
        <v>486</v>
      </c>
      <c r="D911">
        <v>-8.1120000000000001</v>
      </c>
    </row>
    <row r="912" spans="1:4" x14ac:dyDescent="0.25">
      <c r="A912" t="s">
        <v>74</v>
      </c>
      <c r="B912" t="s">
        <v>76</v>
      </c>
      <c r="C912" t="s">
        <v>479</v>
      </c>
      <c r="D912">
        <v>-8.1379999999999999</v>
      </c>
    </row>
    <row r="913" spans="1:4" x14ac:dyDescent="0.25">
      <c r="A913" t="s">
        <v>86</v>
      </c>
      <c r="B913" t="s">
        <v>76</v>
      </c>
      <c r="C913" t="s">
        <v>493</v>
      </c>
      <c r="D913">
        <v>-8.0329999999999995</v>
      </c>
    </row>
    <row r="914" spans="1:4" x14ac:dyDescent="0.25">
      <c r="A914" t="s">
        <v>86</v>
      </c>
      <c r="B914" t="s">
        <v>76</v>
      </c>
      <c r="C914" t="s">
        <v>486</v>
      </c>
      <c r="D914">
        <v>-8.0329999999999995</v>
      </c>
    </row>
    <row r="915" spans="1:4" x14ac:dyDescent="0.25">
      <c r="A915" t="s">
        <v>86</v>
      </c>
      <c r="B915" t="s">
        <v>76</v>
      </c>
      <c r="C915" t="s">
        <v>487</v>
      </c>
      <c r="D915">
        <v>-8.0329999999999995</v>
      </c>
    </row>
    <row r="916" spans="1:4" x14ac:dyDescent="0.25">
      <c r="A916" t="s">
        <v>86</v>
      </c>
      <c r="B916" t="s">
        <v>76</v>
      </c>
      <c r="C916" t="s">
        <v>499</v>
      </c>
      <c r="D916">
        <v>-8.0329999999999995</v>
      </c>
    </row>
    <row r="917" spans="1:4" x14ac:dyDescent="0.25">
      <c r="A917" t="s">
        <v>74</v>
      </c>
      <c r="B917" t="s">
        <v>77</v>
      </c>
      <c r="C917" t="s">
        <v>481</v>
      </c>
      <c r="D917">
        <v>-1</v>
      </c>
    </row>
    <row r="918" spans="1:4" x14ac:dyDescent="0.25">
      <c r="A918" t="s">
        <v>74</v>
      </c>
      <c r="B918" t="s">
        <v>77</v>
      </c>
      <c r="C918" t="s">
        <v>491</v>
      </c>
      <c r="D918">
        <v>-1</v>
      </c>
    </row>
    <row r="919" spans="1:4" x14ac:dyDescent="0.25">
      <c r="A919" t="s">
        <v>74</v>
      </c>
      <c r="B919" t="s">
        <v>77</v>
      </c>
      <c r="C919" t="s">
        <v>492</v>
      </c>
      <c r="D919">
        <v>-1</v>
      </c>
    </row>
    <row r="920" spans="1:4" x14ac:dyDescent="0.25">
      <c r="A920" t="s">
        <v>83</v>
      </c>
      <c r="B920" t="s">
        <v>77</v>
      </c>
      <c r="C920" t="s">
        <v>483</v>
      </c>
      <c r="D920">
        <v>-1</v>
      </c>
    </row>
    <row r="921" spans="1:4" x14ac:dyDescent="0.25">
      <c r="A921" t="s">
        <v>83</v>
      </c>
      <c r="B921" t="s">
        <v>77</v>
      </c>
      <c r="C921" t="s">
        <v>493</v>
      </c>
      <c r="D921">
        <v>-1</v>
      </c>
    </row>
    <row r="922" spans="1:4" x14ac:dyDescent="0.25">
      <c r="A922" t="s">
        <v>83</v>
      </c>
      <c r="B922" t="s">
        <v>77</v>
      </c>
      <c r="C922" t="s">
        <v>486</v>
      </c>
      <c r="D922">
        <v>-1</v>
      </c>
    </row>
    <row r="923" spans="1:4" x14ac:dyDescent="0.25">
      <c r="A923" t="s">
        <v>83</v>
      </c>
      <c r="B923" t="s">
        <v>77</v>
      </c>
      <c r="C923" t="s">
        <v>487</v>
      </c>
      <c r="D923">
        <v>-1</v>
      </c>
    </row>
    <row r="924" spans="1:4" x14ac:dyDescent="0.25">
      <c r="A924" t="s">
        <v>83</v>
      </c>
      <c r="B924" t="s">
        <v>77</v>
      </c>
      <c r="C924" t="s">
        <v>496</v>
      </c>
      <c r="D924">
        <v>-1</v>
      </c>
    </row>
    <row r="925" spans="1:4" x14ac:dyDescent="0.25">
      <c r="A925" t="s">
        <v>83</v>
      </c>
      <c r="B925" t="s">
        <v>77</v>
      </c>
      <c r="C925" t="s">
        <v>499</v>
      </c>
      <c r="D925">
        <v>-1</v>
      </c>
    </row>
    <row r="926" spans="1:4" x14ac:dyDescent="0.25">
      <c r="A926" t="s">
        <v>85</v>
      </c>
      <c r="B926" t="s">
        <v>77</v>
      </c>
      <c r="C926" t="s">
        <v>483</v>
      </c>
      <c r="D926">
        <v>-1</v>
      </c>
    </row>
    <row r="927" spans="1:4" x14ac:dyDescent="0.25">
      <c r="A927" t="s">
        <v>85</v>
      </c>
      <c r="B927" t="s">
        <v>77</v>
      </c>
      <c r="C927" t="s">
        <v>493</v>
      </c>
      <c r="D927">
        <v>-1</v>
      </c>
    </row>
    <row r="928" spans="1:4" x14ac:dyDescent="0.25">
      <c r="A928" t="s">
        <v>85</v>
      </c>
      <c r="B928" t="s">
        <v>77</v>
      </c>
      <c r="C928" t="s">
        <v>486</v>
      </c>
      <c r="D928">
        <v>-1</v>
      </c>
    </row>
    <row r="929" spans="1:4" x14ac:dyDescent="0.25">
      <c r="A929" t="s">
        <v>74</v>
      </c>
      <c r="B929" t="s">
        <v>77</v>
      </c>
      <c r="C929" t="s">
        <v>479</v>
      </c>
      <c r="D929">
        <v>-1</v>
      </c>
    </row>
    <row r="930" spans="1:4" x14ac:dyDescent="0.25">
      <c r="A930" t="s">
        <v>86</v>
      </c>
      <c r="B930" t="s">
        <v>77</v>
      </c>
      <c r="C930" t="s">
        <v>493</v>
      </c>
      <c r="D930">
        <v>-1</v>
      </c>
    </row>
    <row r="931" spans="1:4" x14ac:dyDescent="0.25">
      <c r="A931" t="s">
        <v>86</v>
      </c>
      <c r="B931" t="s">
        <v>77</v>
      </c>
      <c r="C931" t="s">
        <v>486</v>
      </c>
      <c r="D931">
        <v>-1</v>
      </c>
    </row>
    <row r="932" spans="1:4" x14ac:dyDescent="0.25">
      <c r="A932" t="s">
        <v>86</v>
      </c>
      <c r="B932" t="s">
        <v>77</v>
      </c>
      <c r="C932" t="s">
        <v>487</v>
      </c>
      <c r="D932">
        <v>-1</v>
      </c>
    </row>
    <row r="933" spans="1:4" x14ac:dyDescent="0.25">
      <c r="A933" t="s">
        <v>86</v>
      </c>
      <c r="B933" t="s">
        <v>77</v>
      </c>
      <c r="C933" t="s">
        <v>499</v>
      </c>
      <c r="D933">
        <v>-1</v>
      </c>
    </row>
    <row r="934" spans="1:4" x14ac:dyDescent="0.25">
      <c r="A934" t="s">
        <v>74</v>
      </c>
      <c r="B934" t="s">
        <v>615</v>
      </c>
      <c r="C934" t="s">
        <v>481</v>
      </c>
      <c r="D934">
        <v>8.9999999999999993E-3</v>
      </c>
    </row>
    <row r="935" spans="1:4" x14ac:dyDescent="0.25">
      <c r="A935" t="s">
        <v>74</v>
      </c>
      <c r="B935" t="s">
        <v>615</v>
      </c>
      <c r="C935" t="s">
        <v>491</v>
      </c>
      <c r="D935">
        <v>8.9999999999999993E-3</v>
      </c>
    </row>
    <row r="936" spans="1:4" x14ac:dyDescent="0.25">
      <c r="A936" t="s">
        <v>74</v>
      </c>
      <c r="B936" t="s">
        <v>615</v>
      </c>
      <c r="C936" t="s">
        <v>492</v>
      </c>
      <c r="D936">
        <v>8.9999999999999993E-3</v>
      </c>
    </row>
    <row r="937" spans="1:4" x14ac:dyDescent="0.25">
      <c r="A937" t="s">
        <v>74</v>
      </c>
      <c r="B937" t="s">
        <v>615</v>
      </c>
      <c r="C937" t="s">
        <v>483</v>
      </c>
      <c r="D937">
        <v>8.9999999999999993E-3</v>
      </c>
    </row>
    <row r="938" spans="1:4" x14ac:dyDescent="0.25">
      <c r="A938" t="s">
        <v>74</v>
      </c>
      <c r="B938" t="s">
        <v>615</v>
      </c>
      <c r="C938" t="s">
        <v>493</v>
      </c>
      <c r="D938">
        <v>1.0999999999999999E-2</v>
      </c>
    </row>
    <row r="939" spans="1:4" x14ac:dyDescent="0.25">
      <c r="A939" t="s">
        <v>74</v>
      </c>
      <c r="B939" t="s">
        <v>615</v>
      </c>
      <c r="C939" t="s">
        <v>486</v>
      </c>
      <c r="D939">
        <v>1.2E-2</v>
      </c>
    </row>
    <row r="940" spans="1:4" x14ac:dyDescent="0.25">
      <c r="A940" t="s">
        <v>74</v>
      </c>
      <c r="B940" t="s">
        <v>615</v>
      </c>
      <c r="C940" t="s">
        <v>487</v>
      </c>
      <c r="D940">
        <v>8.9999999999999993E-3</v>
      </c>
    </row>
    <row r="941" spans="1:4" x14ac:dyDescent="0.25">
      <c r="A941" t="s">
        <v>74</v>
      </c>
      <c r="B941" t="s">
        <v>615</v>
      </c>
      <c r="C941" t="s">
        <v>496</v>
      </c>
      <c r="D941">
        <v>8.0000000000000002E-3</v>
      </c>
    </row>
    <row r="942" spans="1:4" x14ac:dyDescent="0.25">
      <c r="A942" t="s">
        <v>74</v>
      </c>
      <c r="B942" t="s">
        <v>615</v>
      </c>
      <c r="C942" t="s">
        <v>499</v>
      </c>
      <c r="D942">
        <v>1.0999999999999999E-2</v>
      </c>
    </row>
    <row r="943" spans="1:4" x14ac:dyDescent="0.25">
      <c r="A943" t="s">
        <v>83</v>
      </c>
      <c r="B943" t="s">
        <v>615</v>
      </c>
      <c r="C943" t="s">
        <v>481</v>
      </c>
      <c r="D943">
        <v>8.9999999999999993E-3</v>
      </c>
    </row>
    <row r="944" spans="1:4" x14ac:dyDescent="0.25">
      <c r="A944" t="s">
        <v>83</v>
      </c>
      <c r="B944" t="s">
        <v>615</v>
      </c>
      <c r="C944" t="s">
        <v>491</v>
      </c>
      <c r="D944">
        <v>8.9999999999999993E-3</v>
      </c>
    </row>
    <row r="945" spans="1:4" x14ac:dyDescent="0.25">
      <c r="A945" t="s">
        <v>83</v>
      </c>
      <c r="B945" t="s">
        <v>615</v>
      </c>
      <c r="C945" t="s">
        <v>492</v>
      </c>
      <c r="D945">
        <v>8.9999999999999993E-3</v>
      </c>
    </row>
    <row r="946" spans="1:4" x14ac:dyDescent="0.25">
      <c r="A946" t="s">
        <v>83</v>
      </c>
      <c r="B946" t="s">
        <v>615</v>
      </c>
      <c r="C946" t="s">
        <v>483</v>
      </c>
      <c r="D946">
        <v>8.9999999999999993E-3</v>
      </c>
    </row>
    <row r="947" spans="1:4" x14ac:dyDescent="0.25">
      <c r="A947" t="s">
        <v>83</v>
      </c>
      <c r="B947" t="s">
        <v>615</v>
      </c>
      <c r="C947" t="s">
        <v>493</v>
      </c>
      <c r="D947">
        <v>1.0999999999999999E-2</v>
      </c>
    </row>
    <row r="948" spans="1:4" x14ac:dyDescent="0.25">
      <c r="A948" t="s">
        <v>83</v>
      </c>
      <c r="B948" t="s">
        <v>615</v>
      </c>
      <c r="C948" t="s">
        <v>486</v>
      </c>
      <c r="D948">
        <v>1.2E-2</v>
      </c>
    </row>
    <row r="949" spans="1:4" x14ac:dyDescent="0.25">
      <c r="A949" t="s">
        <v>83</v>
      </c>
      <c r="B949" t="s">
        <v>615</v>
      </c>
      <c r="C949" t="s">
        <v>487</v>
      </c>
      <c r="D949">
        <v>8.9999999999999993E-3</v>
      </c>
    </row>
    <row r="950" spans="1:4" x14ac:dyDescent="0.25">
      <c r="A950" t="s">
        <v>83</v>
      </c>
      <c r="B950" t="s">
        <v>615</v>
      </c>
      <c r="C950" t="s">
        <v>496</v>
      </c>
      <c r="D950">
        <v>8.0000000000000002E-3</v>
      </c>
    </row>
    <row r="951" spans="1:4" x14ac:dyDescent="0.25">
      <c r="A951" t="s">
        <v>83</v>
      </c>
      <c r="B951" t="s">
        <v>615</v>
      </c>
      <c r="C951" t="s">
        <v>499</v>
      </c>
      <c r="D951">
        <v>1.0999999999999999E-2</v>
      </c>
    </row>
    <row r="952" spans="1:4" x14ac:dyDescent="0.25">
      <c r="A952" t="s">
        <v>74</v>
      </c>
      <c r="B952" t="s">
        <v>615</v>
      </c>
      <c r="C952" t="s">
        <v>479</v>
      </c>
      <c r="D952">
        <v>8.9999999999999993E-3</v>
      </c>
    </row>
    <row r="953" spans="1:4" x14ac:dyDescent="0.25">
      <c r="A953" t="s">
        <v>83</v>
      </c>
      <c r="B953" t="s">
        <v>615</v>
      </c>
      <c r="C953" t="s">
        <v>479</v>
      </c>
      <c r="D953">
        <v>8.9999999999999993E-3</v>
      </c>
    </row>
    <row r="954" spans="1:4" x14ac:dyDescent="0.25">
      <c r="A954" t="s">
        <v>85</v>
      </c>
      <c r="B954" t="s">
        <v>615</v>
      </c>
      <c r="C954" t="s">
        <v>479</v>
      </c>
      <c r="D954">
        <v>8.9999999999999993E-3</v>
      </c>
    </row>
    <row r="955" spans="1:4" x14ac:dyDescent="0.25">
      <c r="A955" t="s">
        <v>86</v>
      </c>
      <c r="B955" t="s">
        <v>615</v>
      </c>
      <c r="C955" t="s">
        <v>479</v>
      </c>
      <c r="D955">
        <v>8.9999999999999993E-3</v>
      </c>
    </row>
    <row r="956" spans="1:4" x14ac:dyDescent="0.25">
      <c r="A956" t="s">
        <v>85</v>
      </c>
      <c r="B956" t="s">
        <v>615</v>
      </c>
      <c r="C956" t="s">
        <v>481</v>
      </c>
      <c r="D956">
        <v>8.9999999999999993E-3</v>
      </c>
    </row>
    <row r="957" spans="1:4" x14ac:dyDescent="0.25">
      <c r="A957" t="s">
        <v>85</v>
      </c>
      <c r="B957" t="s">
        <v>615</v>
      </c>
      <c r="C957" t="s">
        <v>491</v>
      </c>
      <c r="D957">
        <v>8.9999999999999993E-3</v>
      </c>
    </row>
    <row r="958" spans="1:4" x14ac:dyDescent="0.25">
      <c r="A958" t="s">
        <v>85</v>
      </c>
      <c r="B958" t="s">
        <v>615</v>
      </c>
      <c r="C958" t="s">
        <v>492</v>
      </c>
      <c r="D958">
        <v>8.9999999999999993E-3</v>
      </c>
    </row>
    <row r="959" spans="1:4" x14ac:dyDescent="0.25">
      <c r="A959" t="s">
        <v>85</v>
      </c>
      <c r="B959" t="s">
        <v>615</v>
      </c>
      <c r="C959" t="s">
        <v>483</v>
      </c>
      <c r="D959">
        <v>8.9999999999999993E-3</v>
      </c>
    </row>
    <row r="960" spans="1:4" x14ac:dyDescent="0.25">
      <c r="A960" t="s">
        <v>85</v>
      </c>
      <c r="B960" t="s">
        <v>615</v>
      </c>
      <c r="C960" t="s">
        <v>493</v>
      </c>
      <c r="D960">
        <v>1.0999999999999999E-2</v>
      </c>
    </row>
    <row r="961" spans="1:4" x14ac:dyDescent="0.25">
      <c r="A961" t="s">
        <v>85</v>
      </c>
      <c r="B961" t="s">
        <v>615</v>
      </c>
      <c r="C961" t="s">
        <v>486</v>
      </c>
      <c r="D961">
        <v>1.2E-2</v>
      </c>
    </row>
    <row r="962" spans="1:4" x14ac:dyDescent="0.25">
      <c r="A962" t="s">
        <v>85</v>
      </c>
      <c r="B962" t="s">
        <v>615</v>
      </c>
      <c r="C962" t="s">
        <v>487</v>
      </c>
      <c r="D962">
        <v>8.9999999999999993E-3</v>
      </c>
    </row>
    <row r="963" spans="1:4" x14ac:dyDescent="0.25">
      <c r="A963" t="s">
        <v>85</v>
      </c>
      <c r="B963" t="s">
        <v>615</v>
      </c>
      <c r="C963" t="s">
        <v>496</v>
      </c>
      <c r="D963">
        <v>8.0000000000000002E-3</v>
      </c>
    </row>
    <row r="964" spans="1:4" x14ac:dyDescent="0.25">
      <c r="A964" t="s">
        <v>85</v>
      </c>
      <c r="B964" t="s">
        <v>615</v>
      </c>
      <c r="C964" t="s">
        <v>499</v>
      </c>
      <c r="D964">
        <v>1.0999999999999999E-2</v>
      </c>
    </row>
    <row r="965" spans="1:4" x14ac:dyDescent="0.25">
      <c r="A965" t="s">
        <v>86</v>
      </c>
      <c r="B965" t="s">
        <v>615</v>
      </c>
      <c r="C965" t="s">
        <v>481</v>
      </c>
      <c r="D965">
        <v>8.9999999999999993E-3</v>
      </c>
    </row>
    <row r="966" spans="1:4" x14ac:dyDescent="0.25">
      <c r="A966" t="s">
        <v>86</v>
      </c>
      <c r="B966" t="s">
        <v>615</v>
      </c>
      <c r="C966" t="s">
        <v>491</v>
      </c>
      <c r="D966">
        <v>8.9999999999999993E-3</v>
      </c>
    </row>
    <row r="967" spans="1:4" x14ac:dyDescent="0.25">
      <c r="A967" t="s">
        <v>86</v>
      </c>
      <c r="B967" t="s">
        <v>615</v>
      </c>
      <c r="C967" t="s">
        <v>492</v>
      </c>
      <c r="D967">
        <v>8.9999999999999993E-3</v>
      </c>
    </row>
    <row r="968" spans="1:4" x14ac:dyDescent="0.25">
      <c r="A968" t="s">
        <v>86</v>
      </c>
      <c r="B968" t="s">
        <v>615</v>
      </c>
      <c r="C968" t="s">
        <v>483</v>
      </c>
      <c r="D968">
        <v>8.9999999999999993E-3</v>
      </c>
    </row>
    <row r="969" spans="1:4" x14ac:dyDescent="0.25">
      <c r="A969" t="s">
        <v>86</v>
      </c>
      <c r="B969" t="s">
        <v>615</v>
      </c>
      <c r="C969" t="s">
        <v>493</v>
      </c>
      <c r="D969">
        <v>1.0999999999999999E-2</v>
      </c>
    </row>
    <row r="970" spans="1:4" x14ac:dyDescent="0.25">
      <c r="A970" t="s">
        <v>86</v>
      </c>
      <c r="B970" t="s">
        <v>615</v>
      </c>
      <c r="C970" t="s">
        <v>486</v>
      </c>
      <c r="D970">
        <v>1.2E-2</v>
      </c>
    </row>
    <row r="971" spans="1:4" x14ac:dyDescent="0.25">
      <c r="A971" t="s">
        <v>86</v>
      </c>
      <c r="B971" t="s">
        <v>615</v>
      </c>
      <c r="C971" t="s">
        <v>487</v>
      </c>
      <c r="D971">
        <v>8.9999999999999993E-3</v>
      </c>
    </row>
    <row r="972" spans="1:4" x14ac:dyDescent="0.25">
      <c r="A972" t="s">
        <v>86</v>
      </c>
      <c r="B972" t="s">
        <v>615</v>
      </c>
      <c r="C972" t="s">
        <v>496</v>
      </c>
      <c r="D972">
        <v>8.0000000000000002E-3</v>
      </c>
    </row>
    <row r="973" spans="1:4" x14ac:dyDescent="0.25">
      <c r="A973" t="s">
        <v>86</v>
      </c>
      <c r="B973" t="s">
        <v>615</v>
      </c>
      <c r="C973" t="s">
        <v>499</v>
      </c>
      <c r="D973">
        <v>1.0999999999999999E-2</v>
      </c>
    </row>
    <row r="974" spans="1:4" x14ac:dyDescent="0.25">
      <c r="A974" t="s">
        <v>74</v>
      </c>
      <c r="B974" t="s">
        <v>64</v>
      </c>
      <c r="C974" t="s">
        <v>481</v>
      </c>
      <c r="D974">
        <v>3.161</v>
      </c>
    </row>
    <row r="975" spans="1:4" x14ac:dyDescent="0.25">
      <c r="A975" t="s">
        <v>74</v>
      </c>
      <c r="B975" t="s">
        <v>64</v>
      </c>
      <c r="C975" t="s">
        <v>491</v>
      </c>
      <c r="D975">
        <v>3.161</v>
      </c>
    </row>
    <row r="976" spans="1:4" x14ac:dyDescent="0.25">
      <c r="A976" t="s">
        <v>74</v>
      </c>
      <c r="B976" t="s">
        <v>64</v>
      </c>
      <c r="C976" t="s">
        <v>492</v>
      </c>
      <c r="D976">
        <v>3.161</v>
      </c>
    </row>
    <row r="977" spans="1:4" x14ac:dyDescent="0.25">
      <c r="A977" t="s">
        <v>83</v>
      </c>
      <c r="B977" t="s">
        <v>64</v>
      </c>
      <c r="C977" t="s">
        <v>483</v>
      </c>
      <c r="D977">
        <v>2.62</v>
      </c>
    </row>
    <row r="978" spans="1:4" x14ac:dyDescent="0.25">
      <c r="A978" t="s">
        <v>83</v>
      </c>
      <c r="B978" t="s">
        <v>64</v>
      </c>
      <c r="C978" t="s">
        <v>493</v>
      </c>
      <c r="D978">
        <v>2.62</v>
      </c>
    </row>
    <row r="979" spans="1:4" x14ac:dyDescent="0.25">
      <c r="A979" t="s">
        <v>83</v>
      </c>
      <c r="B979" t="s">
        <v>64</v>
      </c>
      <c r="C979" t="s">
        <v>486</v>
      </c>
      <c r="D979">
        <v>2.62</v>
      </c>
    </row>
    <row r="980" spans="1:4" x14ac:dyDescent="0.25">
      <c r="A980" t="s">
        <v>83</v>
      </c>
      <c r="B980" t="s">
        <v>64</v>
      </c>
      <c r="C980" t="s">
        <v>487</v>
      </c>
      <c r="D980">
        <v>2.62</v>
      </c>
    </row>
    <row r="981" spans="1:4" x14ac:dyDescent="0.25">
      <c r="A981" t="s">
        <v>83</v>
      </c>
      <c r="B981" t="s">
        <v>64</v>
      </c>
      <c r="C981" t="s">
        <v>496</v>
      </c>
      <c r="D981">
        <v>2.62</v>
      </c>
    </row>
    <row r="982" spans="1:4" x14ac:dyDescent="0.25">
      <c r="A982" t="s">
        <v>83</v>
      </c>
      <c r="B982" t="s">
        <v>64</v>
      </c>
      <c r="C982" t="s">
        <v>499</v>
      </c>
      <c r="D982">
        <v>2.62</v>
      </c>
    </row>
    <row r="983" spans="1:4" x14ac:dyDescent="0.25">
      <c r="A983" t="s">
        <v>85</v>
      </c>
      <c r="B983" t="s">
        <v>64</v>
      </c>
      <c r="C983" t="s">
        <v>483</v>
      </c>
      <c r="D983">
        <v>3.4969999999999999</v>
      </c>
    </row>
    <row r="984" spans="1:4" x14ac:dyDescent="0.25">
      <c r="A984" t="s">
        <v>85</v>
      </c>
      <c r="B984" t="s">
        <v>64</v>
      </c>
      <c r="C984" t="s">
        <v>493</v>
      </c>
      <c r="D984">
        <v>3.4969999999999999</v>
      </c>
    </row>
    <row r="985" spans="1:4" x14ac:dyDescent="0.25">
      <c r="A985" t="s">
        <v>85</v>
      </c>
      <c r="B985" t="s">
        <v>64</v>
      </c>
      <c r="C985" t="s">
        <v>486</v>
      </c>
      <c r="D985">
        <v>3.4969999999999999</v>
      </c>
    </row>
    <row r="986" spans="1:4" x14ac:dyDescent="0.25">
      <c r="A986" t="s">
        <v>74</v>
      </c>
      <c r="B986" t="s">
        <v>64</v>
      </c>
      <c r="C986" t="s">
        <v>479</v>
      </c>
      <c r="D986">
        <v>3.161</v>
      </c>
    </row>
    <row r="987" spans="1:4" x14ac:dyDescent="0.25">
      <c r="A987" t="s">
        <v>86</v>
      </c>
      <c r="B987" t="s">
        <v>64</v>
      </c>
      <c r="C987" t="s">
        <v>483</v>
      </c>
      <c r="D987">
        <v>2.8340000000000001</v>
      </c>
    </row>
    <row r="988" spans="1:4" x14ac:dyDescent="0.25">
      <c r="A988" t="s">
        <v>86</v>
      </c>
      <c r="B988" t="s">
        <v>64</v>
      </c>
      <c r="C988" t="s">
        <v>493</v>
      </c>
      <c r="D988">
        <v>2.8340000000000001</v>
      </c>
    </row>
    <row r="989" spans="1:4" x14ac:dyDescent="0.25">
      <c r="A989" t="s">
        <v>86</v>
      </c>
      <c r="B989" t="s">
        <v>64</v>
      </c>
      <c r="C989" t="s">
        <v>486</v>
      </c>
      <c r="D989">
        <v>2.8340000000000001</v>
      </c>
    </row>
    <row r="990" spans="1:4" x14ac:dyDescent="0.25">
      <c r="A990" t="s">
        <v>86</v>
      </c>
      <c r="B990" t="s">
        <v>64</v>
      </c>
      <c r="C990" t="s">
        <v>487</v>
      </c>
      <c r="D990">
        <v>2.8340000000000001</v>
      </c>
    </row>
    <row r="991" spans="1:4" x14ac:dyDescent="0.25">
      <c r="A991" t="s">
        <v>86</v>
      </c>
      <c r="B991" t="s">
        <v>64</v>
      </c>
      <c r="C991" t="s">
        <v>496</v>
      </c>
      <c r="D991">
        <v>2.8340000000000001</v>
      </c>
    </row>
    <row r="992" spans="1:4" x14ac:dyDescent="0.25">
      <c r="A992" t="s">
        <v>86</v>
      </c>
      <c r="B992" t="s">
        <v>64</v>
      </c>
      <c r="C992" t="s">
        <v>499</v>
      </c>
      <c r="D992">
        <v>2.8340000000000001</v>
      </c>
    </row>
    <row r="993" spans="1:4" x14ac:dyDescent="0.25">
      <c r="A993" t="s">
        <v>74</v>
      </c>
      <c r="B993" t="s">
        <v>24</v>
      </c>
      <c r="C993" t="s">
        <v>481</v>
      </c>
      <c r="D993">
        <v>2.3250000000000002</v>
      </c>
    </row>
    <row r="994" spans="1:4" x14ac:dyDescent="0.25">
      <c r="A994" t="s">
        <v>74</v>
      </c>
      <c r="B994" t="s">
        <v>24</v>
      </c>
      <c r="C994" t="s">
        <v>491</v>
      </c>
      <c r="D994">
        <v>2.2869999999999999</v>
      </c>
    </row>
    <row r="995" spans="1:4" x14ac:dyDescent="0.25">
      <c r="A995" t="s">
        <v>74</v>
      </c>
      <c r="B995" t="s">
        <v>24</v>
      </c>
      <c r="C995" t="s">
        <v>492</v>
      </c>
      <c r="D995">
        <v>2.2629999999999999</v>
      </c>
    </row>
    <row r="996" spans="1:4" x14ac:dyDescent="0.25">
      <c r="A996" t="s">
        <v>74</v>
      </c>
      <c r="B996" t="s">
        <v>24</v>
      </c>
      <c r="C996" t="s">
        <v>483</v>
      </c>
      <c r="D996">
        <v>2.1869999999999998</v>
      </c>
    </row>
    <row r="997" spans="1:4" x14ac:dyDescent="0.25">
      <c r="A997" t="s">
        <v>74</v>
      </c>
      <c r="B997" t="s">
        <v>24</v>
      </c>
      <c r="C997" t="s">
        <v>493</v>
      </c>
      <c r="D997">
        <v>2.0819999999999999</v>
      </c>
    </row>
    <row r="998" spans="1:4" x14ac:dyDescent="0.25">
      <c r="A998" t="s">
        <v>74</v>
      </c>
      <c r="B998" t="s">
        <v>24</v>
      </c>
      <c r="C998" t="s">
        <v>486</v>
      </c>
      <c r="D998">
        <v>2.0830000000000002</v>
      </c>
    </row>
    <row r="999" spans="1:4" x14ac:dyDescent="0.25">
      <c r="A999" t="s">
        <v>74</v>
      </c>
      <c r="B999" t="s">
        <v>24</v>
      </c>
      <c r="C999" t="s">
        <v>487</v>
      </c>
      <c r="D999">
        <v>2.0819999999999999</v>
      </c>
    </row>
    <row r="1000" spans="1:4" x14ac:dyDescent="0.25">
      <c r="A1000" t="s">
        <v>74</v>
      </c>
      <c r="B1000" t="s">
        <v>24</v>
      </c>
      <c r="C1000" t="s">
        <v>496</v>
      </c>
      <c r="D1000">
        <v>2.0830000000000002</v>
      </c>
    </row>
    <row r="1001" spans="1:4" x14ac:dyDescent="0.25">
      <c r="A1001" t="s">
        <v>74</v>
      </c>
      <c r="B1001" t="s">
        <v>24</v>
      </c>
      <c r="C1001" t="s">
        <v>499</v>
      </c>
      <c r="D1001">
        <v>2.0819999999999999</v>
      </c>
    </row>
    <row r="1002" spans="1:4" x14ac:dyDescent="0.25">
      <c r="A1002" t="s">
        <v>83</v>
      </c>
      <c r="B1002" t="s">
        <v>24</v>
      </c>
      <c r="C1002" t="s">
        <v>481</v>
      </c>
      <c r="D1002">
        <v>2.3250000000000002</v>
      </c>
    </row>
    <row r="1003" spans="1:4" x14ac:dyDescent="0.25">
      <c r="A1003" t="s">
        <v>83</v>
      </c>
      <c r="B1003" t="s">
        <v>24</v>
      </c>
      <c r="C1003" t="s">
        <v>491</v>
      </c>
      <c r="D1003">
        <v>2.2869999999999999</v>
      </c>
    </row>
    <row r="1004" spans="1:4" x14ac:dyDescent="0.25">
      <c r="A1004" t="s">
        <v>83</v>
      </c>
      <c r="B1004" t="s">
        <v>24</v>
      </c>
      <c r="C1004" t="s">
        <v>492</v>
      </c>
      <c r="D1004">
        <v>2.2629999999999999</v>
      </c>
    </row>
    <row r="1005" spans="1:4" x14ac:dyDescent="0.25">
      <c r="A1005" t="s">
        <v>83</v>
      </c>
      <c r="B1005" t="s">
        <v>24</v>
      </c>
      <c r="C1005" t="s">
        <v>483</v>
      </c>
      <c r="D1005">
        <v>2.1869999999999998</v>
      </c>
    </row>
    <row r="1006" spans="1:4" x14ac:dyDescent="0.25">
      <c r="A1006" t="s">
        <v>83</v>
      </c>
      <c r="B1006" t="s">
        <v>24</v>
      </c>
      <c r="C1006" t="s">
        <v>493</v>
      </c>
      <c r="D1006">
        <v>2.0819999999999999</v>
      </c>
    </row>
    <row r="1007" spans="1:4" x14ac:dyDescent="0.25">
      <c r="A1007" t="s">
        <v>83</v>
      </c>
      <c r="B1007" t="s">
        <v>24</v>
      </c>
      <c r="C1007" t="s">
        <v>486</v>
      </c>
      <c r="D1007">
        <v>2.0830000000000002</v>
      </c>
    </row>
    <row r="1008" spans="1:4" x14ac:dyDescent="0.25">
      <c r="A1008" t="s">
        <v>83</v>
      </c>
      <c r="B1008" t="s">
        <v>24</v>
      </c>
      <c r="C1008" t="s">
        <v>487</v>
      </c>
      <c r="D1008">
        <v>2.0819999999999999</v>
      </c>
    </row>
    <row r="1009" spans="1:4" x14ac:dyDescent="0.25">
      <c r="A1009" t="s">
        <v>83</v>
      </c>
      <c r="B1009" t="s">
        <v>24</v>
      </c>
      <c r="C1009" t="s">
        <v>496</v>
      </c>
      <c r="D1009">
        <v>2.0830000000000002</v>
      </c>
    </row>
    <row r="1010" spans="1:4" x14ac:dyDescent="0.25">
      <c r="A1010" t="s">
        <v>83</v>
      </c>
      <c r="B1010" t="s">
        <v>24</v>
      </c>
      <c r="C1010" t="s">
        <v>499</v>
      </c>
      <c r="D1010">
        <v>2.0819999999999999</v>
      </c>
    </row>
    <row r="1011" spans="1:4" x14ac:dyDescent="0.25">
      <c r="A1011" t="s">
        <v>85</v>
      </c>
      <c r="B1011" t="s">
        <v>24</v>
      </c>
      <c r="C1011" t="s">
        <v>481</v>
      </c>
      <c r="D1011">
        <v>2.3250000000000002</v>
      </c>
    </row>
    <row r="1012" spans="1:4" x14ac:dyDescent="0.25">
      <c r="A1012" t="s">
        <v>85</v>
      </c>
      <c r="B1012" t="s">
        <v>24</v>
      </c>
      <c r="C1012" t="s">
        <v>491</v>
      </c>
      <c r="D1012">
        <v>2.2869999999999999</v>
      </c>
    </row>
    <row r="1013" spans="1:4" x14ac:dyDescent="0.25">
      <c r="A1013" t="s">
        <v>85</v>
      </c>
      <c r="B1013" t="s">
        <v>24</v>
      </c>
      <c r="C1013" t="s">
        <v>492</v>
      </c>
      <c r="D1013">
        <v>2.2629999999999999</v>
      </c>
    </row>
    <row r="1014" spans="1:4" x14ac:dyDescent="0.25">
      <c r="A1014" t="s">
        <v>85</v>
      </c>
      <c r="B1014" t="s">
        <v>24</v>
      </c>
      <c r="C1014" t="s">
        <v>483</v>
      </c>
      <c r="D1014">
        <v>2.1869999999999998</v>
      </c>
    </row>
    <row r="1015" spans="1:4" x14ac:dyDescent="0.25">
      <c r="A1015" t="s">
        <v>85</v>
      </c>
      <c r="B1015" t="s">
        <v>24</v>
      </c>
      <c r="C1015" t="s">
        <v>493</v>
      </c>
      <c r="D1015">
        <v>2.0819999999999999</v>
      </c>
    </row>
    <row r="1016" spans="1:4" x14ac:dyDescent="0.25">
      <c r="A1016" t="s">
        <v>85</v>
      </c>
      <c r="B1016" t="s">
        <v>24</v>
      </c>
      <c r="C1016" t="s">
        <v>486</v>
      </c>
      <c r="D1016">
        <v>2.0830000000000002</v>
      </c>
    </row>
    <row r="1017" spans="1:4" x14ac:dyDescent="0.25">
      <c r="A1017" t="s">
        <v>85</v>
      </c>
      <c r="B1017" t="s">
        <v>24</v>
      </c>
      <c r="C1017" t="s">
        <v>487</v>
      </c>
      <c r="D1017">
        <v>2.0819999999999999</v>
      </c>
    </row>
    <row r="1018" spans="1:4" x14ac:dyDescent="0.25">
      <c r="A1018" t="s">
        <v>85</v>
      </c>
      <c r="B1018" t="s">
        <v>24</v>
      </c>
      <c r="C1018" t="s">
        <v>496</v>
      </c>
      <c r="D1018">
        <v>2.0830000000000002</v>
      </c>
    </row>
    <row r="1019" spans="1:4" x14ac:dyDescent="0.25">
      <c r="A1019" t="s">
        <v>85</v>
      </c>
      <c r="B1019" t="s">
        <v>24</v>
      </c>
      <c r="C1019" t="s">
        <v>499</v>
      </c>
      <c r="D1019">
        <v>2.0819999999999999</v>
      </c>
    </row>
    <row r="1020" spans="1:4" x14ac:dyDescent="0.25">
      <c r="A1020" t="s">
        <v>74</v>
      </c>
      <c r="B1020" t="s">
        <v>24</v>
      </c>
      <c r="C1020" t="s">
        <v>479</v>
      </c>
      <c r="D1020">
        <v>2.3450000000000002</v>
      </c>
    </row>
    <row r="1021" spans="1:4" x14ac:dyDescent="0.25">
      <c r="A1021" t="s">
        <v>83</v>
      </c>
      <c r="B1021" t="s">
        <v>24</v>
      </c>
      <c r="C1021" t="s">
        <v>479</v>
      </c>
      <c r="D1021">
        <v>2.3450000000000002</v>
      </c>
    </row>
    <row r="1022" spans="1:4" x14ac:dyDescent="0.25">
      <c r="A1022" t="s">
        <v>85</v>
      </c>
      <c r="B1022" t="s">
        <v>24</v>
      </c>
      <c r="C1022" t="s">
        <v>479</v>
      </c>
      <c r="D1022">
        <v>2.3450000000000002</v>
      </c>
    </row>
    <row r="1023" spans="1:4" x14ac:dyDescent="0.25">
      <c r="A1023" t="s">
        <v>86</v>
      </c>
      <c r="B1023" t="s">
        <v>24</v>
      </c>
      <c r="C1023" t="s">
        <v>479</v>
      </c>
      <c r="D1023">
        <v>2.3450000000000002</v>
      </c>
    </row>
    <row r="1024" spans="1:4" x14ac:dyDescent="0.25">
      <c r="A1024" t="s">
        <v>86</v>
      </c>
      <c r="B1024" t="s">
        <v>24</v>
      </c>
      <c r="C1024" t="s">
        <v>481</v>
      </c>
      <c r="D1024">
        <v>2.3250000000000002</v>
      </c>
    </row>
    <row r="1025" spans="1:4" x14ac:dyDescent="0.25">
      <c r="A1025" t="s">
        <v>86</v>
      </c>
      <c r="B1025" t="s">
        <v>24</v>
      </c>
      <c r="C1025" t="s">
        <v>491</v>
      </c>
      <c r="D1025">
        <v>2.2869999999999999</v>
      </c>
    </row>
    <row r="1026" spans="1:4" x14ac:dyDescent="0.25">
      <c r="A1026" t="s">
        <v>86</v>
      </c>
      <c r="B1026" t="s">
        <v>24</v>
      </c>
      <c r="C1026" t="s">
        <v>492</v>
      </c>
      <c r="D1026">
        <v>2.2629999999999999</v>
      </c>
    </row>
    <row r="1027" spans="1:4" x14ac:dyDescent="0.25">
      <c r="A1027" t="s">
        <v>86</v>
      </c>
      <c r="B1027" t="s">
        <v>24</v>
      </c>
      <c r="C1027" t="s">
        <v>483</v>
      </c>
      <c r="D1027">
        <v>2.1869999999999998</v>
      </c>
    </row>
    <row r="1028" spans="1:4" x14ac:dyDescent="0.25">
      <c r="A1028" t="s">
        <v>86</v>
      </c>
      <c r="B1028" t="s">
        <v>24</v>
      </c>
      <c r="C1028" t="s">
        <v>493</v>
      </c>
      <c r="D1028">
        <v>2.0819999999999999</v>
      </c>
    </row>
    <row r="1029" spans="1:4" x14ac:dyDescent="0.25">
      <c r="A1029" t="s">
        <v>86</v>
      </c>
      <c r="B1029" t="s">
        <v>24</v>
      </c>
      <c r="C1029" t="s">
        <v>486</v>
      </c>
      <c r="D1029">
        <v>2.0830000000000002</v>
      </c>
    </row>
    <row r="1030" spans="1:4" x14ac:dyDescent="0.25">
      <c r="A1030" t="s">
        <v>86</v>
      </c>
      <c r="B1030" t="s">
        <v>24</v>
      </c>
      <c r="C1030" t="s">
        <v>487</v>
      </c>
      <c r="D1030">
        <v>2.0819999999999999</v>
      </c>
    </row>
    <row r="1031" spans="1:4" x14ac:dyDescent="0.25">
      <c r="A1031" t="s">
        <v>86</v>
      </c>
      <c r="B1031" t="s">
        <v>24</v>
      </c>
      <c r="C1031" t="s">
        <v>496</v>
      </c>
      <c r="D1031">
        <v>2.0830000000000002</v>
      </c>
    </row>
    <row r="1032" spans="1:4" x14ac:dyDescent="0.25">
      <c r="A1032" t="s">
        <v>86</v>
      </c>
      <c r="B1032" t="s">
        <v>24</v>
      </c>
      <c r="C1032" t="s">
        <v>499</v>
      </c>
      <c r="D1032">
        <v>2.0819999999999999</v>
      </c>
    </row>
    <row r="1033" spans="1:4" x14ac:dyDescent="0.25">
      <c r="A1033" t="s">
        <v>74</v>
      </c>
      <c r="B1033" t="s">
        <v>78</v>
      </c>
      <c r="C1033" t="s">
        <v>481</v>
      </c>
      <c r="D1033">
        <v>0.39</v>
      </c>
    </row>
    <row r="1034" spans="1:4" x14ac:dyDescent="0.25">
      <c r="A1034" t="s">
        <v>74</v>
      </c>
      <c r="B1034" t="s">
        <v>78</v>
      </c>
      <c r="C1034" t="s">
        <v>491</v>
      </c>
      <c r="D1034">
        <v>0.39</v>
      </c>
    </row>
    <row r="1035" spans="1:4" x14ac:dyDescent="0.25">
      <c r="A1035" t="s">
        <v>74</v>
      </c>
      <c r="B1035" t="s">
        <v>78</v>
      </c>
      <c r="C1035" t="s">
        <v>492</v>
      </c>
      <c r="D1035">
        <v>0.39</v>
      </c>
    </row>
    <row r="1036" spans="1:4" x14ac:dyDescent="0.25">
      <c r="A1036" t="s">
        <v>83</v>
      </c>
      <c r="B1036" t="s">
        <v>78</v>
      </c>
      <c r="C1036" t="s">
        <v>483</v>
      </c>
      <c r="D1036">
        <v>0.374</v>
      </c>
    </row>
    <row r="1037" spans="1:4" x14ac:dyDescent="0.25">
      <c r="A1037" t="s">
        <v>83</v>
      </c>
      <c r="B1037" t="s">
        <v>78</v>
      </c>
      <c r="C1037" t="s">
        <v>493</v>
      </c>
      <c r="D1037">
        <v>0.374</v>
      </c>
    </row>
    <row r="1038" spans="1:4" x14ac:dyDescent="0.25">
      <c r="A1038" t="s">
        <v>83</v>
      </c>
      <c r="B1038" t="s">
        <v>78</v>
      </c>
      <c r="C1038" t="s">
        <v>486</v>
      </c>
      <c r="D1038">
        <v>0.374</v>
      </c>
    </row>
    <row r="1039" spans="1:4" x14ac:dyDescent="0.25">
      <c r="A1039" t="s">
        <v>83</v>
      </c>
      <c r="B1039" t="s">
        <v>78</v>
      </c>
      <c r="C1039" t="s">
        <v>487</v>
      </c>
      <c r="D1039">
        <v>0.374</v>
      </c>
    </row>
    <row r="1040" spans="1:4" x14ac:dyDescent="0.25">
      <c r="A1040" t="s">
        <v>83</v>
      </c>
      <c r="B1040" t="s">
        <v>78</v>
      </c>
      <c r="C1040" t="s">
        <v>496</v>
      </c>
      <c r="D1040">
        <v>0.374</v>
      </c>
    </row>
    <row r="1041" spans="1:4" x14ac:dyDescent="0.25">
      <c r="A1041" t="s">
        <v>83</v>
      </c>
      <c r="B1041" t="s">
        <v>78</v>
      </c>
      <c r="C1041" t="s">
        <v>499</v>
      </c>
      <c r="D1041">
        <v>0.374</v>
      </c>
    </row>
    <row r="1042" spans="1:4" x14ac:dyDescent="0.25">
      <c r="A1042" t="s">
        <v>85</v>
      </c>
      <c r="B1042" t="s">
        <v>78</v>
      </c>
      <c r="C1042" t="s">
        <v>483</v>
      </c>
      <c r="D1042">
        <v>0.50900000000000001</v>
      </c>
    </row>
    <row r="1043" spans="1:4" x14ac:dyDescent="0.25">
      <c r="A1043" t="s">
        <v>85</v>
      </c>
      <c r="B1043" t="s">
        <v>78</v>
      </c>
      <c r="C1043" t="s">
        <v>493</v>
      </c>
      <c r="D1043">
        <v>0.50900000000000001</v>
      </c>
    </row>
    <row r="1044" spans="1:4" x14ac:dyDescent="0.25">
      <c r="A1044" t="s">
        <v>85</v>
      </c>
      <c r="B1044" t="s">
        <v>78</v>
      </c>
      <c r="C1044" t="s">
        <v>486</v>
      </c>
      <c r="D1044">
        <v>0.50900000000000001</v>
      </c>
    </row>
    <row r="1045" spans="1:4" x14ac:dyDescent="0.25">
      <c r="A1045" t="s">
        <v>86</v>
      </c>
      <c r="B1045" t="s">
        <v>78</v>
      </c>
      <c r="C1045" t="s">
        <v>483</v>
      </c>
      <c r="D1045">
        <v>0.41099999999999998</v>
      </c>
    </row>
    <row r="1046" spans="1:4" x14ac:dyDescent="0.25">
      <c r="A1046" t="s">
        <v>86</v>
      </c>
      <c r="B1046" t="s">
        <v>78</v>
      </c>
      <c r="C1046" t="s">
        <v>493</v>
      </c>
      <c r="D1046">
        <v>0.41099999999999998</v>
      </c>
    </row>
    <row r="1047" spans="1:4" x14ac:dyDescent="0.25">
      <c r="A1047" t="s">
        <v>86</v>
      </c>
      <c r="B1047" t="s">
        <v>78</v>
      </c>
      <c r="C1047" t="s">
        <v>486</v>
      </c>
      <c r="D1047">
        <v>0.41099999999999998</v>
      </c>
    </row>
    <row r="1048" spans="1:4" x14ac:dyDescent="0.25">
      <c r="A1048" t="s">
        <v>86</v>
      </c>
      <c r="B1048" t="s">
        <v>78</v>
      </c>
      <c r="C1048" t="s">
        <v>487</v>
      </c>
      <c r="D1048">
        <v>0.41099999999999998</v>
      </c>
    </row>
    <row r="1049" spans="1:4" x14ac:dyDescent="0.25">
      <c r="A1049" t="s">
        <v>86</v>
      </c>
      <c r="B1049" t="s">
        <v>78</v>
      </c>
      <c r="C1049" t="s">
        <v>496</v>
      </c>
      <c r="D1049">
        <v>0.41099999999999998</v>
      </c>
    </row>
    <row r="1050" spans="1:4" x14ac:dyDescent="0.25">
      <c r="A1050" t="s">
        <v>86</v>
      </c>
      <c r="B1050" t="s">
        <v>78</v>
      </c>
      <c r="C1050" t="s">
        <v>499</v>
      </c>
      <c r="D1050">
        <v>0.41099999999999998</v>
      </c>
    </row>
    <row r="1051" spans="1:4" x14ac:dyDescent="0.25">
      <c r="A1051" t="s">
        <v>74</v>
      </c>
      <c r="B1051" t="s">
        <v>78</v>
      </c>
      <c r="C1051" t="s">
        <v>479</v>
      </c>
      <c r="D1051">
        <v>0.39</v>
      </c>
    </row>
    <row r="1052" spans="1:4" x14ac:dyDescent="0.25">
      <c r="A1052" t="s">
        <v>74</v>
      </c>
      <c r="B1052" t="s">
        <v>27</v>
      </c>
      <c r="C1052" t="s">
        <v>481</v>
      </c>
      <c r="D1052">
        <v>2.2970000000000002</v>
      </c>
    </row>
    <row r="1053" spans="1:4" x14ac:dyDescent="0.25">
      <c r="A1053" t="s">
        <v>74</v>
      </c>
      <c r="B1053" t="s">
        <v>27</v>
      </c>
      <c r="C1053" t="s">
        <v>491</v>
      </c>
      <c r="D1053">
        <v>2.2970000000000002</v>
      </c>
    </row>
    <row r="1054" spans="1:4" x14ac:dyDescent="0.25">
      <c r="A1054" t="s">
        <v>74</v>
      </c>
      <c r="B1054" t="s">
        <v>27</v>
      </c>
      <c r="C1054" t="s">
        <v>492</v>
      </c>
      <c r="D1054">
        <v>2.2970000000000002</v>
      </c>
    </row>
    <row r="1055" spans="1:4" x14ac:dyDescent="0.25">
      <c r="A1055" t="s">
        <v>83</v>
      </c>
      <c r="B1055" t="s">
        <v>27</v>
      </c>
      <c r="C1055" t="s">
        <v>483</v>
      </c>
      <c r="D1055">
        <v>2.1150000000000002</v>
      </c>
    </row>
    <row r="1056" spans="1:4" x14ac:dyDescent="0.25">
      <c r="A1056" t="s">
        <v>83</v>
      </c>
      <c r="B1056" t="s">
        <v>27</v>
      </c>
      <c r="C1056" t="s">
        <v>493</v>
      </c>
      <c r="D1056">
        <v>2.1150000000000002</v>
      </c>
    </row>
    <row r="1057" spans="1:4" x14ac:dyDescent="0.25">
      <c r="A1057" t="s">
        <v>83</v>
      </c>
      <c r="B1057" t="s">
        <v>27</v>
      </c>
      <c r="C1057" t="s">
        <v>486</v>
      </c>
      <c r="D1057">
        <v>2.1150000000000002</v>
      </c>
    </row>
    <row r="1058" spans="1:4" x14ac:dyDescent="0.25">
      <c r="A1058" t="s">
        <v>83</v>
      </c>
      <c r="B1058" t="s">
        <v>27</v>
      </c>
      <c r="C1058" t="s">
        <v>487</v>
      </c>
      <c r="D1058">
        <v>2.1150000000000002</v>
      </c>
    </row>
    <row r="1059" spans="1:4" x14ac:dyDescent="0.25">
      <c r="A1059" t="s">
        <v>83</v>
      </c>
      <c r="B1059" t="s">
        <v>27</v>
      </c>
      <c r="C1059" t="s">
        <v>496</v>
      </c>
      <c r="D1059">
        <v>2.1150000000000002</v>
      </c>
    </row>
    <row r="1060" spans="1:4" x14ac:dyDescent="0.25">
      <c r="A1060" t="s">
        <v>83</v>
      </c>
      <c r="B1060" t="s">
        <v>27</v>
      </c>
      <c r="C1060" t="s">
        <v>499</v>
      </c>
      <c r="D1060">
        <v>2.1150000000000002</v>
      </c>
    </row>
    <row r="1061" spans="1:4" x14ac:dyDescent="0.25">
      <c r="A1061" t="s">
        <v>85</v>
      </c>
      <c r="B1061" t="s">
        <v>27</v>
      </c>
      <c r="C1061" t="s">
        <v>483</v>
      </c>
      <c r="D1061">
        <v>2.0249999999999999</v>
      </c>
    </row>
    <row r="1062" spans="1:4" x14ac:dyDescent="0.25">
      <c r="A1062" t="s">
        <v>85</v>
      </c>
      <c r="B1062" t="s">
        <v>27</v>
      </c>
      <c r="C1062" t="s">
        <v>493</v>
      </c>
      <c r="D1062">
        <v>2.0249999999999999</v>
      </c>
    </row>
    <row r="1063" spans="1:4" x14ac:dyDescent="0.25">
      <c r="A1063" t="s">
        <v>85</v>
      </c>
      <c r="B1063" t="s">
        <v>27</v>
      </c>
      <c r="C1063" t="s">
        <v>486</v>
      </c>
      <c r="D1063">
        <v>2.0249999999999999</v>
      </c>
    </row>
    <row r="1064" spans="1:4" x14ac:dyDescent="0.25">
      <c r="A1064" t="s">
        <v>86</v>
      </c>
      <c r="B1064" t="s">
        <v>27</v>
      </c>
      <c r="C1064" t="s">
        <v>483</v>
      </c>
      <c r="D1064">
        <v>2.161</v>
      </c>
    </row>
    <row r="1065" spans="1:4" x14ac:dyDescent="0.25">
      <c r="A1065" t="s">
        <v>86</v>
      </c>
      <c r="B1065" t="s">
        <v>27</v>
      </c>
      <c r="C1065" t="s">
        <v>493</v>
      </c>
      <c r="D1065">
        <v>2.161</v>
      </c>
    </row>
    <row r="1066" spans="1:4" x14ac:dyDescent="0.25">
      <c r="A1066" t="s">
        <v>86</v>
      </c>
      <c r="B1066" t="s">
        <v>27</v>
      </c>
      <c r="C1066" t="s">
        <v>486</v>
      </c>
      <c r="D1066">
        <v>2.161</v>
      </c>
    </row>
    <row r="1067" spans="1:4" x14ac:dyDescent="0.25">
      <c r="A1067" t="s">
        <v>86</v>
      </c>
      <c r="B1067" t="s">
        <v>27</v>
      </c>
      <c r="C1067" t="s">
        <v>487</v>
      </c>
      <c r="D1067">
        <v>2.161</v>
      </c>
    </row>
    <row r="1068" spans="1:4" x14ac:dyDescent="0.25">
      <c r="A1068" t="s">
        <v>86</v>
      </c>
      <c r="B1068" t="s">
        <v>27</v>
      </c>
      <c r="C1068" t="s">
        <v>496</v>
      </c>
      <c r="D1068">
        <v>2.161</v>
      </c>
    </row>
    <row r="1069" spans="1:4" x14ac:dyDescent="0.25">
      <c r="A1069" t="s">
        <v>86</v>
      </c>
      <c r="B1069" t="s">
        <v>27</v>
      </c>
      <c r="C1069" t="s">
        <v>499</v>
      </c>
      <c r="D1069">
        <v>2.161</v>
      </c>
    </row>
    <row r="1070" spans="1:4" x14ac:dyDescent="0.25">
      <c r="A1070" t="s">
        <v>74</v>
      </c>
      <c r="B1070" t="s">
        <v>27</v>
      </c>
      <c r="C1070" t="s">
        <v>479</v>
      </c>
      <c r="D1070">
        <v>2.2970000000000002</v>
      </c>
    </row>
    <row r="1071" spans="1:4" x14ac:dyDescent="0.25">
      <c r="A1071" t="s">
        <v>74</v>
      </c>
      <c r="B1071" t="s">
        <v>62</v>
      </c>
      <c r="C1071" t="s">
        <v>481</v>
      </c>
      <c r="D1071">
        <v>-8.5000000000000006E-2</v>
      </c>
    </row>
    <row r="1072" spans="1:4" x14ac:dyDescent="0.25">
      <c r="A1072" t="s">
        <v>74</v>
      </c>
      <c r="B1072" t="s">
        <v>62</v>
      </c>
      <c r="C1072" t="s">
        <v>491</v>
      </c>
      <c r="D1072">
        <v>-8.5000000000000006E-2</v>
      </c>
    </row>
    <row r="1073" spans="1:4" x14ac:dyDescent="0.25">
      <c r="A1073" t="s">
        <v>74</v>
      </c>
      <c r="B1073" t="s">
        <v>62</v>
      </c>
      <c r="C1073" t="s">
        <v>492</v>
      </c>
      <c r="D1073">
        <v>-8.5000000000000006E-2</v>
      </c>
    </row>
    <row r="1074" spans="1:4" x14ac:dyDescent="0.25">
      <c r="A1074" t="s">
        <v>74</v>
      </c>
      <c r="B1074" t="s">
        <v>62</v>
      </c>
      <c r="C1074" t="s">
        <v>483</v>
      </c>
      <c r="D1074">
        <v>-8.5000000000000006E-2</v>
      </c>
    </row>
    <row r="1075" spans="1:4" x14ac:dyDescent="0.25">
      <c r="A1075" t="s">
        <v>74</v>
      </c>
      <c r="B1075" t="s">
        <v>62</v>
      </c>
      <c r="C1075" t="s">
        <v>493</v>
      </c>
      <c r="D1075">
        <v>-8.5000000000000006E-2</v>
      </c>
    </row>
    <row r="1076" spans="1:4" x14ac:dyDescent="0.25">
      <c r="A1076" t="s">
        <v>74</v>
      </c>
      <c r="B1076" t="s">
        <v>62</v>
      </c>
      <c r="C1076" t="s">
        <v>486</v>
      </c>
      <c r="D1076">
        <v>-8.5000000000000006E-2</v>
      </c>
    </row>
    <row r="1077" spans="1:4" x14ac:dyDescent="0.25">
      <c r="A1077" t="s">
        <v>74</v>
      </c>
      <c r="B1077" t="s">
        <v>62</v>
      </c>
      <c r="C1077" t="s">
        <v>487</v>
      </c>
      <c r="D1077">
        <v>-8.5000000000000006E-2</v>
      </c>
    </row>
    <row r="1078" spans="1:4" x14ac:dyDescent="0.25">
      <c r="A1078" t="s">
        <v>74</v>
      </c>
      <c r="B1078" t="s">
        <v>62</v>
      </c>
      <c r="C1078" t="s">
        <v>496</v>
      </c>
      <c r="D1078">
        <v>-8.5000000000000006E-2</v>
      </c>
    </row>
    <row r="1079" spans="1:4" x14ac:dyDescent="0.25">
      <c r="A1079" t="s">
        <v>74</v>
      </c>
      <c r="B1079" t="s">
        <v>62</v>
      </c>
      <c r="C1079" t="s">
        <v>499</v>
      </c>
      <c r="D1079">
        <v>-8.5000000000000006E-2</v>
      </c>
    </row>
    <row r="1080" spans="1:4" x14ac:dyDescent="0.25">
      <c r="A1080" t="s">
        <v>83</v>
      </c>
      <c r="B1080" t="s">
        <v>62</v>
      </c>
      <c r="C1080" t="s">
        <v>481</v>
      </c>
      <c r="D1080">
        <v>-8.5000000000000006E-2</v>
      </c>
    </row>
    <row r="1081" spans="1:4" x14ac:dyDescent="0.25">
      <c r="A1081" t="s">
        <v>83</v>
      </c>
      <c r="B1081" t="s">
        <v>62</v>
      </c>
      <c r="C1081" t="s">
        <v>491</v>
      </c>
      <c r="D1081">
        <v>-8.5000000000000006E-2</v>
      </c>
    </row>
    <row r="1082" spans="1:4" x14ac:dyDescent="0.25">
      <c r="A1082" t="s">
        <v>83</v>
      </c>
      <c r="B1082" t="s">
        <v>62</v>
      </c>
      <c r="C1082" t="s">
        <v>492</v>
      </c>
      <c r="D1082">
        <v>-8.5000000000000006E-2</v>
      </c>
    </row>
    <row r="1083" spans="1:4" x14ac:dyDescent="0.25">
      <c r="A1083" t="s">
        <v>83</v>
      </c>
      <c r="B1083" t="s">
        <v>62</v>
      </c>
      <c r="C1083" t="s">
        <v>483</v>
      </c>
      <c r="D1083">
        <v>-8.5000000000000006E-2</v>
      </c>
    </row>
    <row r="1084" spans="1:4" x14ac:dyDescent="0.25">
      <c r="A1084" t="s">
        <v>83</v>
      </c>
      <c r="B1084" t="s">
        <v>62</v>
      </c>
      <c r="C1084" t="s">
        <v>493</v>
      </c>
      <c r="D1084">
        <v>-8.5000000000000006E-2</v>
      </c>
    </row>
    <row r="1085" spans="1:4" x14ac:dyDescent="0.25">
      <c r="A1085" t="s">
        <v>83</v>
      </c>
      <c r="B1085" t="s">
        <v>62</v>
      </c>
      <c r="C1085" t="s">
        <v>486</v>
      </c>
      <c r="D1085">
        <v>-8.5000000000000006E-2</v>
      </c>
    </row>
    <row r="1086" spans="1:4" x14ac:dyDescent="0.25">
      <c r="A1086" t="s">
        <v>83</v>
      </c>
      <c r="B1086" t="s">
        <v>62</v>
      </c>
      <c r="C1086" t="s">
        <v>487</v>
      </c>
      <c r="D1086">
        <v>-8.5000000000000006E-2</v>
      </c>
    </row>
    <row r="1087" spans="1:4" x14ac:dyDescent="0.25">
      <c r="A1087" t="s">
        <v>83</v>
      </c>
      <c r="B1087" t="s">
        <v>62</v>
      </c>
      <c r="C1087" t="s">
        <v>496</v>
      </c>
      <c r="D1087">
        <v>-8.5000000000000006E-2</v>
      </c>
    </row>
    <row r="1088" spans="1:4" x14ac:dyDescent="0.25">
      <c r="A1088" t="s">
        <v>83</v>
      </c>
      <c r="B1088" t="s">
        <v>62</v>
      </c>
      <c r="C1088" t="s">
        <v>499</v>
      </c>
      <c r="D1088">
        <v>-8.5000000000000006E-2</v>
      </c>
    </row>
    <row r="1089" spans="1:4" x14ac:dyDescent="0.25">
      <c r="A1089" t="s">
        <v>85</v>
      </c>
      <c r="B1089" t="s">
        <v>62</v>
      </c>
      <c r="C1089" t="s">
        <v>481</v>
      </c>
      <c r="D1089">
        <v>-8.5000000000000006E-2</v>
      </c>
    </row>
    <row r="1090" spans="1:4" x14ac:dyDescent="0.25">
      <c r="A1090" t="s">
        <v>85</v>
      </c>
      <c r="B1090" t="s">
        <v>62</v>
      </c>
      <c r="C1090" t="s">
        <v>491</v>
      </c>
      <c r="D1090">
        <v>-8.5000000000000006E-2</v>
      </c>
    </row>
    <row r="1091" spans="1:4" x14ac:dyDescent="0.25">
      <c r="A1091" t="s">
        <v>85</v>
      </c>
      <c r="B1091" t="s">
        <v>62</v>
      </c>
      <c r="C1091" t="s">
        <v>492</v>
      </c>
      <c r="D1091">
        <v>-8.5000000000000006E-2</v>
      </c>
    </row>
    <row r="1092" spans="1:4" x14ac:dyDescent="0.25">
      <c r="A1092" t="s">
        <v>85</v>
      </c>
      <c r="B1092" t="s">
        <v>62</v>
      </c>
      <c r="C1092" t="s">
        <v>483</v>
      </c>
      <c r="D1092">
        <v>-8.5000000000000006E-2</v>
      </c>
    </row>
    <row r="1093" spans="1:4" x14ac:dyDescent="0.25">
      <c r="A1093" t="s">
        <v>85</v>
      </c>
      <c r="B1093" t="s">
        <v>62</v>
      </c>
      <c r="C1093" t="s">
        <v>493</v>
      </c>
      <c r="D1093">
        <v>-8.5000000000000006E-2</v>
      </c>
    </row>
    <row r="1094" spans="1:4" x14ac:dyDescent="0.25">
      <c r="A1094" t="s">
        <v>85</v>
      </c>
      <c r="B1094" t="s">
        <v>62</v>
      </c>
      <c r="C1094" t="s">
        <v>486</v>
      </c>
      <c r="D1094">
        <v>-8.5000000000000006E-2</v>
      </c>
    </row>
    <row r="1095" spans="1:4" x14ac:dyDescent="0.25">
      <c r="A1095" t="s">
        <v>85</v>
      </c>
      <c r="B1095" t="s">
        <v>62</v>
      </c>
      <c r="C1095" t="s">
        <v>487</v>
      </c>
      <c r="D1095">
        <v>-8.5000000000000006E-2</v>
      </c>
    </row>
    <row r="1096" spans="1:4" x14ac:dyDescent="0.25">
      <c r="A1096" t="s">
        <v>85</v>
      </c>
      <c r="B1096" t="s">
        <v>62</v>
      </c>
      <c r="C1096" t="s">
        <v>496</v>
      </c>
      <c r="D1096">
        <v>-8.5000000000000006E-2</v>
      </c>
    </row>
    <row r="1097" spans="1:4" x14ac:dyDescent="0.25">
      <c r="A1097" t="s">
        <v>85</v>
      </c>
      <c r="B1097" t="s">
        <v>62</v>
      </c>
      <c r="C1097" t="s">
        <v>499</v>
      </c>
      <c r="D1097">
        <v>-8.5000000000000006E-2</v>
      </c>
    </row>
    <row r="1098" spans="1:4" x14ac:dyDescent="0.25">
      <c r="A1098" t="s">
        <v>86</v>
      </c>
      <c r="B1098" t="s">
        <v>62</v>
      </c>
      <c r="C1098" t="s">
        <v>481</v>
      </c>
      <c r="D1098">
        <v>-8.5000000000000006E-2</v>
      </c>
    </row>
    <row r="1099" spans="1:4" x14ac:dyDescent="0.25">
      <c r="A1099" t="s">
        <v>86</v>
      </c>
      <c r="B1099" t="s">
        <v>62</v>
      </c>
      <c r="C1099" t="s">
        <v>491</v>
      </c>
      <c r="D1099">
        <v>-8.5000000000000006E-2</v>
      </c>
    </row>
    <row r="1100" spans="1:4" x14ac:dyDescent="0.25">
      <c r="A1100" t="s">
        <v>86</v>
      </c>
      <c r="B1100" t="s">
        <v>62</v>
      </c>
      <c r="C1100" t="s">
        <v>492</v>
      </c>
      <c r="D1100">
        <v>-8.5000000000000006E-2</v>
      </c>
    </row>
    <row r="1101" spans="1:4" x14ac:dyDescent="0.25">
      <c r="A1101" t="s">
        <v>86</v>
      </c>
      <c r="B1101" t="s">
        <v>62</v>
      </c>
      <c r="C1101" t="s">
        <v>483</v>
      </c>
      <c r="D1101">
        <v>-8.5000000000000006E-2</v>
      </c>
    </row>
    <row r="1102" spans="1:4" x14ac:dyDescent="0.25">
      <c r="A1102" t="s">
        <v>86</v>
      </c>
      <c r="B1102" t="s">
        <v>62</v>
      </c>
      <c r="C1102" t="s">
        <v>493</v>
      </c>
      <c r="D1102">
        <v>-8.5000000000000006E-2</v>
      </c>
    </row>
    <row r="1103" spans="1:4" x14ac:dyDescent="0.25">
      <c r="A1103" t="s">
        <v>86</v>
      </c>
      <c r="B1103" t="s">
        <v>62</v>
      </c>
      <c r="C1103" t="s">
        <v>486</v>
      </c>
      <c r="D1103">
        <v>-8.5000000000000006E-2</v>
      </c>
    </row>
    <row r="1104" spans="1:4" x14ac:dyDescent="0.25">
      <c r="A1104" t="s">
        <v>86</v>
      </c>
      <c r="B1104" t="s">
        <v>62</v>
      </c>
      <c r="C1104" t="s">
        <v>487</v>
      </c>
      <c r="D1104">
        <v>-8.5000000000000006E-2</v>
      </c>
    </row>
    <row r="1105" spans="1:4" x14ac:dyDescent="0.25">
      <c r="A1105" t="s">
        <v>86</v>
      </c>
      <c r="B1105" t="s">
        <v>62</v>
      </c>
      <c r="C1105" t="s">
        <v>496</v>
      </c>
      <c r="D1105">
        <v>-8.5000000000000006E-2</v>
      </c>
    </row>
    <row r="1106" spans="1:4" x14ac:dyDescent="0.25">
      <c r="A1106" t="s">
        <v>86</v>
      </c>
      <c r="B1106" t="s">
        <v>62</v>
      </c>
      <c r="C1106" t="s">
        <v>499</v>
      </c>
      <c r="D1106">
        <v>-8.5000000000000006E-2</v>
      </c>
    </row>
    <row r="1107" spans="1:4" x14ac:dyDescent="0.25">
      <c r="A1107" t="s">
        <v>74</v>
      </c>
      <c r="B1107" t="s">
        <v>62</v>
      </c>
      <c r="C1107" t="s">
        <v>479</v>
      </c>
      <c r="D1107">
        <v>-8.5000000000000006E-2</v>
      </c>
    </row>
    <row r="1108" spans="1:4" x14ac:dyDescent="0.25">
      <c r="A1108" t="s">
        <v>83</v>
      </c>
      <c r="B1108" t="s">
        <v>62</v>
      </c>
      <c r="C1108" t="s">
        <v>479</v>
      </c>
      <c r="D1108">
        <v>-8.5000000000000006E-2</v>
      </c>
    </row>
    <row r="1109" spans="1:4" x14ac:dyDescent="0.25">
      <c r="A1109" t="s">
        <v>85</v>
      </c>
      <c r="B1109" t="s">
        <v>62</v>
      </c>
      <c r="C1109" t="s">
        <v>479</v>
      </c>
      <c r="D1109">
        <v>-8.5000000000000006E-2</v>
      </c>
    </row>
    <row r="1110" spans="1:4" x14ac:dyDescent="0.25">
      <c r="A1110" t="s">
        <v>86</v>
      </c>
      <c r="B1110" t="s">
        <v>62</v>
      </c>
      <c r="C1110" t="s">
        <v>479</v>
      </c>
      <c r="D1110">
        <v>-8.5000000000000006E-2</v>
      </c>
    </row>
    <row r="1111" spans="1:4" x14ac:dyDescent="0.25">
      <c r="A1111" t="s">
        <v>74</v>
      </c>
      <c r="B1111" t="s">
        <v>79</v>
      </c>
      <c r="C1111" t="s">
        <v>479</v>
      </c>
      <c r="D1111">
        <v>0.32</v>
      </c>
    </row>
    <row r="1112" spans="1:4" x14ac:dyDescent="0.25">
      <c r="A1112" t="s">
        <v>74</v>
      </c>
      <c r="B1112" t="s">
        <v>79</v>
      </c>
      <c r="C1112" t="s">
        <v>481</v>
      </c>
      <c r="D1112">
        <v>0.32</v>
      </c>
    </row>
    <row r="1113" spans="1:4" x14ac:dyDescent="0.25">
      <c r="A1113" t="s">
        <v>74</v>
      </c>
      <c r="B1113" t="s">
        <v>79</v>
      </c>
      <c r="C1113" t="s">
        <v>491</v>
      </c>
      <c r="D1113">
        <v>0.32</v>
      </c>
    </row>
    <row r="1114" spans="1:4" x14ac:dyDescent="0.25">
      <c r="A1114" t="s">
        <v>74</v>
      </c>
      <c r="B1114" t="s">
        <v>79</v>
      </c>
      <c r="C1114" t="s">
        <v>492</v>
      </c>
      <c r="D1114">
        <v>0.32</v>
      </c>
    </row>
    <row r="1115" spans="1:4" x14ac:dyDescent="0.25">
      <c r="A1115" t="s">
        <v>83</v>
      </c>
      <c r="B1115" t="s">
        <v>79</v>
      </c>
      <c r="C1115" t="s">
        <v>483</v>
      </c>
      <c r="D1115">
        <v>0.29799999999999999</v>
      </c>
    </row>
    <row r="1116" spans="1:4" x14ac:dyDescent="0.25">
      <c r="A1116" t="s">
        <v>83</v>
      </c>
      <c r="B1116" t="s">
        <v>79</v>
      </c>
      <c r="C1116" t="s">
        <v>493</v>
      </c>
      <c r="D1116">
        <v>0.29799999999999999</v>
      </c>
    </row>
    <row r="1117" spans="1:4" x14ac:dyDescent="0.25">
      <c r="A1117" t="s">
        <v>83</v>
      </c>
      <c r="B1117" t="s">
        <v>79</v>
      </c>
      <c r="C1117" t="s">
        <v>486</v>
      </c>
      <c r="D1117">
        <v>0.29799999999999999</v>
      </c>
    </row>
    <row r="1118" spans="1:4" x14ac:dyDescent="0.25">
      <c r="A1118" t="s">
        <v>83</v>
      </c>
      <c r="B1118" t="s">
        <v>79</v>
      </c>
      <c r="C1118" t="s">
        <v>487</v>
      </c>
      <c r="D1118">
        <v>0.29799999999999999</v>
      </c>
    </row>
    <row r="1119" spans="1:4" x14ac:dyDescent="0.25">
      <c r="A1119" t="s">
        <v>83</v>
      </c>
      <c r="B1119" t="s">
        <v>79</v>
      </c>
      <c r="C1119" t="s">
        <v>499</v>
      </c>
      <c r="D1119">
        <v>0.29799999999999999</v>
      </c>
    </row>
    <row r="1120" spans="1:4" x14ac:dyDescent="0.25">
      <c r="A1120" t="s">
        <v>83</v>
      </c>
      <c r="B1120" t="s">
        <v>79</v>
      </c>
      <c r="C1120" t="s">
        <v>496</v>
      </c>
      <c r="D1120">
        <v>0.29799999999999999</v>
      </c>
    </row>
    <row r="1121" spans="1:4" x14ac:dyDescent="0.25">
      <c r="A1121" t="s">
        <v>85</v>
      </c>
      <c r="B1121" t="s">
        <v>79</v>
      </c>
      <c r="C1121" s="2" t="s">
        <v>483</v>
      </c>
      <c r="D1121" s="2">
        <v>0.41399999999999998</v>
      </c>
    </row>
    <row r="1122" spans="1:4" x14ac:dyDescent="0.25">
      <c r="A1122" t="s">
        <v>85</v>
      </c>
      <c r="B1122" t="s">
        <v>79</v>
      </c>
      <c r="C1122" t="s">
        <v>493</v>
      </c>
      <c r="D1122">
        <v>0.41399999999999998</v>
      </c>
    </row>
    <row r="1123" spans="1:4" x14ac:dyDescent="0.25">
      <c r="A1123" t="s">
        <v>85</v>
      </c>
      <c r="B1123" t="s">
        <v>79</v>
      </c>
      <c r="C1123" t="s">
        <v>486</v>
      </c>
      <c r="D1123">
        <v>0.41399999999999998</v>
      </c>
    </row>
    <row r="1124" spans="1:4" x14ac:dyDescent="0.25">
      <c r="A1124" t="s">
        <v>86</v>
      </c>
      <c r="B1124" t="s">
        <v>79</v>
      </c>
      <c r="C1124" t="s">
        <v>493</v>
      </c>
      <c r="D1124">
        <v>0.34599999999999997</v>
      </c>
    </row>
    <row r="1125" spans="1:4" x14ac:dyDescent="0.25">
      <c r="A1125" t="s">
        <v>86</v>
      </c>
      <c r="B1125" t="s">
        <v>79</v>
      </c>
      <c r="C1125" t="s">
        <v>486</v>
      </c>
      <c r="D1125">
        <v>0.34599999999999997</v>
      </c>
    </row>
    <row r="1126" spans="1:4" x14ac:dyDescent="0.25">
      <c r="A1126" t="s">
        <v>86</v>
      </c>
      <c r="B1126" t="s">
        <v>79</v>
      </c>
      <c r="C1126" t="s">
        <v>487</v>
      </c>
      <c r="D1126">
        <v>0.34599999999999997</v>
      </c>
    </row>
    <row r="1127" spans="1:4" x14ac:dyDescent="0.25">
      <c r="A1127" t="s">
        <v>86</v>
      </c>
      <c r="B1127" t="s">
        <v>79</v>
      </c>
      <c r="C1127" t="s">
        <v>499</v>
      </c>
      <c r="D1127">
        <v>0.34599999999999997</v>
      </c>
    </row>
    <row r="1128" spans="1:4" x14ac:dyDescent="0.25">
      <c r="A1128" t="s">
        <v>86</v>
      </c>
      <c r="B1128" t="s">
        <v>79</v>
      </c>
      <c r="C1128" t="s">
        <v>496</v>
      </c>
      <c r="D1128">
        <v>0.34599999999999997</v>
      </c>
    </row>
    <row r="1129" spans="1:4" x14ac:dyDescent="0.25">
      <c r="A1129" t="s">
        <v>86</v>
      </c>
      <c r="B1129" t="s">
        <v>84</v>
      </c>
      <c r="C1129" t="s">
        <v>499</v>
      </c>
      <c r="D1129">
        <v>8.0000000000000002E-3</v>
      </c>
    </row>
    <row r="1130" spans="1:4" x14ac:dyDescent="0.25">
      <c r="A1130" t="s">
        <v>87</v>
      </c>
      <c r="B1130" t="s">
        <v>88</v>
      </c>
      <c r="C1130" t="s">
        <v>493</v>
      </c>
      <c r="D1130">
        <v>-1.333</v>
      </c>
    </row>
    <row r="1131" spans="1:4" x14ac:dyDescent="0.25">
      <c r="A1131" t="s">
        <v>87</v>
      </c>
      <c r="B1131" t="s">
        <v>88</v>
      </c>
      <c r="C1131" t="s">
        <v>486</v>
      </c>
      <c r="D1131">
        <v>-1.333</v>
      </c>
    </row>
    <row r="1132" spans="1:4" x14ac:dyDescent="0.25">
      <c r="A1132" t="s">
        <v>87</v>
      </c>
      <c r="B1132" t="s">
        <v>88</v>
      </c>
      <c r="C1132" t="s">
        <v>487</v>
      </c>
      <c r="D1132">
        <v>-1.333</v>
      </c>
    </row>
    <row r="1133" spans="1:4" x14ac:dyDescent="0.25">
      <c r="A1133" t="s">
        <v>87</v>
      </c>
      <c r="B1133" t="s">
        <v>88</v>
      </c>
      <c r="C1133" t="s">
        <v>496</v>
      </c>
      <c r="D1133">
        <v>-1.333</v>
      </c>
    </row>
    <row r="1134" spans="1:4" x14ac:dyDescent="0.25">
      <c r="A1134" t="s">
        <v>87</v>
      </c>
      <c r="B1134" t="s">
        <v>88</v>
      </c>
      <c r="C1134" t="s">
        <v>499</v>
      </c>
      <c r="D1134">
        <v>-1.333</v>
      </c>
    </row>
    <row r="1135" spans="1:4" x14ac:dyDescent="0.25">
      <c r="A1135" t="s">
        <v>87</v>
      </c>
      <c r="B1135" t="s">
        <v>63</v>
      </c>
      <c r="C1135" t="s">
        <v>493</v>
      </c>
      <c r="D1135">
        <v>5.6079999999999997</v>
      </c>
    </row>
    <row r="1136" spans="1:4" x14ac:dyDescent="0.25">
      <c r="A1136" t="s">
        <v>87</v>
      </c>
      <c r="B1136" t="s">
        <v>63</v>
      </c>
      <c r="C1136" t="s">
        <v>486</v>
      </c>
      <c r="D1136">
        <v>5.6079999999999997</v>
      </c>
    </row>
    <row r="1137" spans="1:4" x14ac:dyDescent="0.25">
      <c r="A1137" t="s">
        <v>87</v>
      </c>
      <c r="B1137" t="s">
        <v>63</v>
      </c>
      <c r="C1137" t="s">
        <v>487</v>
      </c>
      <c r="D1137">
        <v>5.6079999999999997</v>
      </c>
    </row>
    <row r="1138" spans="1:4" x14ac:dyDescent="0.25">
      <c r="A1138" t="s">
        <v>87</v>
      </c>
      <c r="B1138" t="s">
        <v>63</v>
      </c>
      <c r="C1138" t="s">
        <v>496</v>
      </c>
      <c r="D1138">
        <v>5.6079999999999997</v>
      </c>
    </row>
    <row r="1139" spans="1:4" x14ac:dyDescent="0.25">
      <c r="A1139" t="s">
        <v>87</v>
      </c>
      <c r="B1139" t="s">
        <v>63</v>
      </c>
      <c r="C1139" t="s">
        <v>499</v>
      </c>
      <c r="D1139">
        <v>5.6079999999999997</v>
      </c>
    </row>
    <row r="1140" spans="1:4" x14ac:dyDescent="0.25">
      <c r="A1140" t="s">
        <v>87</v>
      </c>
      <c r="B1140" t="s">
        <v>84</v>
      </c>
      <c r="C1140" t="s">
        <v>493</v>
      </c>
      <c r="D1140">
        <v>1.323</v>
      </c>
    </row>
    <row r="1141" spans="1:4" x14ac:dyDescent="0.25">
      <c r="A1141" t="s">
        <v>87</v>
      </c>
      <c r="B1141" t="s">
        <v>84</v>
      </c>
      <c r="C1141" t="s">
        <v>486</v>
      </c>
      <c r="D1141">
        <v>1.323</v>
      </c>
    </row>
    <row r="1142" spans="1:4" x14ac:dyDescent="0.25">
      <c r="A1142" t="s">
        <v>87</v>
      </c>
      <c r="B1142" t="s">
        <v>84</v>
      </c>
      <c r="C1142" t="s">
        <v>487</v>
      </c>
      <c r="D1142">
        <v>1.323</v>
      </c>
    </row>
    <row r="1143" spans="1:4" x14ac:dyDescent="0.25">
      <c r="A1143" t="s">
        <v>87</v>
      </c>
      <c r="B1143" t="s">
        <v>84</v>
      </c>
      <c r="C1143" t="s">
        <v>496</v>
      </c>
      <c r="D1143">
        <v>1.323</v>
      </c>
    </row>
    <row r="1144" spans="1:4" x14ac:dyDescent="0.25">
      <c r="A1144" t="s">
        <v>87</v>
      </c>
      <c r="B1144" t="s">
        <v>84</v>
      </c>
      <c r="C1144" t="s">
        <v>499</v>
      </c>
      <c r="D1144">
        <v>1.323</v>
      </c>
    </row>
    <row r="1145" spans="1:4" x14ac:dyDescent="0.25">
      <c r="A1145" t="s">
        <v>87</v>
      </c>
      <c r="B1145" t="s">
        <v>64</v>
      </c>
      <c r="C1145" t="s">
        <v>493</v>
      </c>
      <c r="D1145">
        <v>8.6180000000000003</v>
      </c>
    </row>
    <row r="1146" spans="1:4" x14ac:dyDescent="0.25">
      <c r="A1146" t="s">
        <v>87</v>
      </c>
      <c r="B1146" t="s">
        <v>64</v>
      </c>
      <c r="C1146" t="s">
        <v>486</v>
      </c>
      <c r="D1146">
        <v>8.6180000000000003</v>
      </c>
    </row>
    <row r="1147" spans="1:4" x14ac:dyDescent="0.25">
      <c r="A1147" t="s">
        <v>87</v>
      </c>
      <c r="B1147" t="s">
        <v>64</v>
      </c>
      <c r="C1147" t="s">
        <v>487</v>
      </c>
      <c r="D1147">
        <v>8.6180000000000003</v>
      </c>
    </row>
    <row r="1148" spans="1:4" x14ac:dyDescent="0.25">
      <c r="A1148" t="s">
        <v>87</v>
      </c>
      <c r="B1148" t="s">
        <v>64</v>
      </c>
      <c r="C1148" t="s">
        <v>496</v>
      </c>
      <c r="D1148">
        <v>8.6180000000000003</v>
      </c>
    </row>
    <row r="1149" spans="1:4" x14ac:dyDescent="0.25">
      <c r="A1149" t="s">
        <v>87</v>
      </c>
      <c r="B1149" t="s">
        <v>64</v>
      </c>
      <c r="C1149" t="s">
        <v>499</v>
      </c>
      <c r="D1149">
        <v>8.6180000000000003</v>
      </c>
    </row>
    <row r="1150" spans="1:4" x14ac:dyDescent="0.25">
      <c r="A1150" t="s">
        <v>87</v>
      </c>
      <c r="B1150" t="s">
        <v>27</v>
      </c>
      <c r="C1150" t="s">
        <v>493</v>
      </c>
      <c r="D1150">
        <v>0.58799999999999997</v>
      </c>
    </row>
    <row r="1151" spans="1:4" x14ac:dyDescent="0.25">
      <c r="A1151" t="s">
        <v>87</v>
      </c>
      <c r="B1151" t="s">
        <v>27</v>
      </c>
      <c r="C1151" t="s">
        <v>486</v>
      </c>
      <c r="D1151">
        <v>0.58799999999999997</v>
      </c>
    </row>
    <row r="1152" spans="1:4" x14ac:dyDescent="0.25">
      <c r="A1152" t="s">
        <v>87</v>
      </c>
      <c r="B1152" t="s">
        <v>27</v>
      </c>
      <c r="C1152" t="s">
        <v>487</v>
      </c>
      <c r="D1152">
        <v>0.58799999999999997</v>
      </c>
    </row>
    <row r="1153" spans="1:4" x14ac:dyDescent="0.25">
      <c r="A1153" t="s">
        <v>87</v>
      </c>
      <c r="B1153" t="s">
        <v>27</v>
      </c>
      <c r="C1153" t="s">
        <v>496</v>
      </c>
      <c r="D1153">
        <v>0.58799999999999997</v>
      </c>
    </row>
    <row r="1154" spans="1:4" x14ac:dyDescent="0.25">
      <c r="A1154" t="s">
        <v>87</v>
      </c>
      <c r="B1154" t="s">
        <v>27</v>
      </c>
      <c r="C1154" t="s">
        <v>499</v>
      </c>
      <c r="D1154">
        <v>0.58799999999999997</v>
      </c>
    </row>
    <row r="1155" spans="1:4" x14ac:dyDescent="0.25">
      <c r="A1155" t="s">
        <v>87</v>
      </c>
      <c r="B1155" t="s">
        <v>89</v>
      </c>
      <c r="C1155" t="s">
        <v>493</v>
      </c>
      <c r="D1155">
        <v>0.4</v>
      </c>
    </row>
    <row r="1156" spans="1:4" x14ac:dyDescent="0.25">
      <c r="A1156" t="s">
        <v>87</v>
      </c>
      <c r="B1156" t="s">
        <v>89</v>
      </c>
      <c r="C1156" t="s">
        <v>486</v>
      </c>
      <c r="D1156">
        <v>0.4</v>
      </c>
    </row>
    <row r="1157" spans="1:4" x14ac:dyDescent="0.25">
      <c r="A1157" t="s">
        <v>87</v>
      </c>
      <c r="B1157" t="s">
        <v>89</v>
      </c>
      <c r="C1157" t="s">
        <v>487</v>
      </c>
      <c r="D1157">
        <v>0.4</v>
      </c>
    </row>
    <row r="1158" spans="1:4" x14ac:dyDescent="0.25">
      <c r="A1158" t="s">
        <v>87</v>
      </c>
      <c r="B1158" t="s">
        <v>89</v>
      </c>
      <c r="C1158" t="s">
        <v>496</v>
      </c>
      <c r="D1158">
        <v>0.4</v>
      </c>
    </row>
    <row r="1159" spans="1:4" x14ac:dyDescent="0.25">
      <c r="A1159" t="s">
        <v>87</v>
      </c>
      <c r="B1159" t="s">
        <v>89</v>
      </c>
      <c r="C1159" t="s">
        <v>499</v>
      </c>
      <c r="D1159">
        <v>0.4</v>
      </c>
    </row>
    <row r="1160" spans="1:4" x14ac:dyDescent="0.25">
      <c r="A1160" t="s">
        <v>87</v>
      </c>
      <c r="B1160" t="s">
        <v>24</v>
      </c>
      <c r="C1160" t="s">
        <v>493</v>
      </c>
      <c r="D1160">
        <v>5.7249999999999996</v>
      </c>
    </row>
    <row r="1161" spans="1:4" x14ac:dyDescent="0.25">
      <c r="A1161" t="s">
        <v>87</v>
      </c>
      <c r="B1161" t="s">
        <v>24</v>
      </c>
      <c r="C1161" t="s">
        <v>486</v>
      </c>
      <c r="D1161">
        <v>5.7249999999999996</v>
      </c>
    </row>
    <row r="1162" spans="1:4" x14ac:dyDescent="0.25">
      <c r="A1162" t="s">
        <v>87</v>
      </c>
      <c r="B1162" t="s">
        <v>24</v>
      </c>
      <c r="C1162" t="s">
        <v>487</v>
      </c>
      <c r="D1162">
        <v>5.7249999999999996</v>
      </c>
    </row>
    <row r="1163" spans="1:4" x14ac:dyDescent="0.25">
      <c r="A1163" t="s">
        <v>87</v>
      </c>
      <c r="B1163" t="s">
        <v>24</v>
      </c>
      <c r="C1163" t="s">
        <v>496</v>
      </c>
      <c r="D1163">
        <v>5.7249999999999996</v>
      </c>
    </row>
    <row r="1164" spans="1:4" x14ac:dyDescent="0.25">
      <c r="A1164" t="s">
        <v>87</v>
      </c>
      <c r="B1164" t="s">
        <v>24</v>
      </c>
      <c r="C1164" t="s">
        <v>499</v>
      </c>
      <c r="D1164">
        <v>5.7249999999999996</v>
      </c>
    </row>
    <row r="1165" spans="1:4" x14ac:dyDescent="0.25">
      <c r="A1165" t="s">
        <v>87</v>
      </c>
      <c r="B1165" t="s">
        <v>5</v>
      </c>
      <c r="C1165" t="s">
        <v>493</v>
      </c>
      <c r="D1165">
        <v>7.9779999999999998</v>
      </c>
    </row>
    <row r="1166" spans="1:4" x14ac:dyDescent="0.25">
      <c r="A1166" t="s">
        <v>87</v>
      </c>
      <c r="B1166" t="s">
        <v>5</v>
      </c>
      <c r="C1166" t="s">
        <v>486</v>
      </c>
      <c r="D1166">
        <v>7.9779999999999998</v>
      </c>
    </row>
    <row r="1167" spans="1:4" x14ac:dyDescent="0.25">
      <c r="A1167" t="s">
        <v>87</v>
      </c>
      <c r="B1167" t="s">
        <v>5</v>
      </c>
      <c r="C1167" t="s">
        <v>487</v>
      </c>
      <c r="D1167">
        <v>7.9779999999999998</v>
      </c>
    </row>
    <row r="1168" spans="1:4" x14ac:dyDescent="0.25">
      <c r="A1168" t="s">
        <v>87</v>
      </c>
      <c r="B1168" t="s">
        <v>5</v>
      </c>
      <c r="C1168" t="s">
        <v>496</v>
      </c>
      <c r="D1168">
        <v>7.9779999999999998</v>
      </c>
    </row>
    <row r="1169" spans="1:4" x14ac:dyDescent="0.25">
      <c r="A1169" t="s">
        <v>87</v>
      </c>
      <c r="B1169" t="s">
        <v>5</v>
      </c>
      <c r="C1169" t="s">
        <v>499</v>
      </c>
      <c r="D1169">
        <v>7.9779999999999998</v>
      </c>
    </row>
    <row r="1170" spans="1:4" x14ac:dyDescent="0.25">
      <c r="A1170" t="s">
        <v>87</v>
      </c>
      <c r="B1170" t="s">
        <v>22</v>
      </c>
      <c r="C1170" t="s">
        <v>493</v>
      </c>
      <c r="D1170" s="2">
        <v>4.4999999999999998E-2</v>
      </c>
    </row>
    <row r="1171" spans="1:4" x14ac:dyDescent="0.25">
      <c r="A1171" t="s">
        <v>87</v>
      </c>
      <c r="B1171" t="s">
        <v>22</v>
      </c>
      <c r="C1171" t="s">
        <v>486</v>
      </c>
      <c r="D1171">
        <v>4.4999999999999998E-2</v>
      </c>
    </row>
    <row r="1172" spans="1:4" x14ac:dyDescent="0.25">
      <c r="A1172" t="s">
        <v>87</v>
      </c>
      <c r="B1172" t="s">
        <v>22</v>
      </c>
      <c r="C1172" t="s">
        <v>487</v>
      </c>
      <c r="D1172">
        <v>4.4999999999999998E-2</v>
      </c>
    </row>
    <row r="1173" spans="1:4" x14ac:dyDescent="0.25">
      <c r="A1173" t="s">
        <v>87</v>
      </c>
      <c r="B1173" t="s">
        <v>22</v>
      </c>
      <c r="C1173" t="s">
        <v>496</v>
      </c>
      <c r="D1173">
        <v>4.4999999999999998E-2</v>
      </c>
    </row>
    <row r="1174" spans="1:4" x14ac:dyDescent="0.25">
      <c r="A1174" t="s">
        <v>87</v>
      </c>
      <c r="B1174" t="s">
        <v>22</v>
      </c>
      <c r="C1174" t="s">
        <v>499</v>
      </c>
      <c r="D1174">
        <v>4.4999999999999998E-2</v>
      </c>
    </row>
    <row r="1175" spans="1:4" x14ac:dyDescent="0.25">
      <c r="A1175" t="s">
        <v>87</v>
      </c>
      <c r="B1175" t="s">
        <v>615</v>
      </c>
      <c r="C1175" t="s">
        <v>479</v>
      </c>
      <c r="D1175">
        <v>0.02</v>
      </c>
    </row>
    <row r="1176" spans="1:4" x14ac:dyDescent="0.25">
      <c r="A1176" t="s">
        <v>87</v>
      </c>
      <c r="B1176" t="s">
        <v>615</v>
      </c>
      <c r="C1176" t="s">
        <v>481</v>
      </c>
      <c r="D1176">
        <v>0.02</v>
      </c>
    </row>
    <row r="1177" spans="1:4" x14ac:dyDescent="0.25">
      <c r="A1177" t="s">
        <v>87</v>
      </c>
      <c r="B1177" t="s">
        <v>615</v>
      </c>
      <c r="C1177" t="s">
        <v>491</v>
      </c>
      <c r="D1177">
        <v>0.02</v>
      </c>
    </row>
    <row r="1178" spans="1:4" x14ac:dyDescent="0.25">
      <c r="A1178" t="s">
        <v>87</v>
      </c>
      <c r="B1178" t="s">
        <v>615</v>
      </c>
      <c r="C1178" t="s">
        <v>492</v>
      </c>
      <c r="D1178">
        <v>0.02</v>
      </c>
    </row>
    <row r="1179" spans="1:4" x14ac:dyDescent="0.25">
      <c r="A1179" t="s">
        <v>87</v>
      </c>
      <c r="B1179" t="s">
        <v>615</v>
      </c>
      <c r="C1179" t="s">
        <v>483</v>
      </c>
      <c r="D1179">
        <v>0.02</v>
      </c>
    </row>
    <row r="1180" spans="1:4" x14ac:dyDescent="0.25">
      <c r="A1180" t="s">
        <v>87</v>
      </c>
      <c r="B1180" t="s">
        <v>615</v>
      </c>
      <c r="C1180" t="s">
        <v>493</v>
      </c>
      <c r="D1180">
        <v>0.02</v>
      </c>
    </row>
    <row r="1181" spans="1:4" x14ac:dyDescent="0.25">
      <c r="A1181" t="s">
        <v>87</v>
      </c>
      <c r="B1181" t="s">
        <v>615</v>
      </c>
      <c r="C1181" t="s">
        <v>486</v>
      </c>
      <c r="D1181">
        <v>0.02</v>
      </c>
    </row>
    <row r="1182" spans="1:4" x14ac:dyDescent="0.25">
      <c r="A1182" t="s">
        <v>87</v>
      </c>
      <c r="B1182" t="s">
        <v>615</v>
      </c>
      <c r="C1182" t="s">
        <v>487</v>
      </c>
      <c r="D1182">
        <v>0.02</v>
      </c>
    </row>
    <row r="1183" spans="1:4" x14ac:dyDescent="0.25">
      <c r="A1183" t="s">
        <v>87</v>
      </c>
      <c r="B1183" t="s">
        <v>615</v>
      </c>
      <c r="C1183" t="s">
        <v>496</v>
      </c>
      <c r="D1183">
        <v>0.02</v>
      </c>
    </row>
    <row r="1184" spans="1:4" x14ac:dyDescent="0.25">
      <c r="A1184" t="s">
        <v>87</v>
      </c>
      <c r="B1184" t="s">
        <v>615</v>
      </c>
      <c r="C1184" t="s">
        <v>499</v>
      </c>
      <c r="D1184">
        <v>0.02</v>
      </c>
    </row>
    <row r="1185" spans="1:4" x14ac:dyDescent="0.25">
      <c r="A1185" t="s">
        <v>87</v>
      </c>
      <c r="B1185" t="s">
        <v>67</v>
      </c>
      <c r="C1185" t="s">
        <v>479</v>
      </c>
      <c r="D1185">
        <v>1.1000000000000001</v>
      </c>
    </row>
    <row r="1186" spans="1:4" x14ac:dyDescent="0.25">
      <c r="A1186" t="s">
        <v>87</v>
      </c>
      <c r="B1186" t="s">
        <v>67</v>
      </c>
      <c r="C1186" t="s">
        <v>481</v>
      </c>
      <c r="D1186">
        <v>1.1000000000000001</v>
      </c>
    </row>
    <row r="1187" spans="1:4" x14ac:dyDescent="0.25">
      <c r="A1187" t="s">
        <v>87</v>
      </c>
      <c r="B1187" t="s">
        <v>67</v>
      </c>
      <c r="C1187" t="s">
        <v>491</v>
      </c>
      <c r="D1187">
        <v>1.1000000000000001</v>
      </c>
    </row>
    <row r="1188" spans="1:4" x14ac:dyDescent="0.25">
      <c r="A1188" t="s">
        <v>87</v>
      </c>
      <c r="B1188" t="s">
        <v>67</v>
      </c>
      <c r="C1188" t="s">
        <v>492</v>
      </c>
      <c r="D1188">
        <v>1.1000000000000001</v>
      </c>
    </row>
    <row r="1189" spans="1:4" x14ac:dyDescent="0.25">
      <c r="A1189" t="s">
        <v>87</v>
      </c>
      <c r="B1189" t="s">
        <v>67</v>
      </c>
      <c r="C1189" t="s">
        <v>483</v>
      </c>
      <c r="D1189">
        <v>1.1000000000000001</v>
      </c>
    </row>
    <row r="1190" spans="1:4" x14ac:dyDescent="0.25">
      <c r="A1190" t="s">
        <v>87</v>
      </c>
      <c r="B1190" t="s">
        <v>67</v>
      </c>
      <c r="C1190" t="s">
        <v>493</v>
      </c>
      <c r="D1190">
        <v>1.1000000000000001</v>
      </c>
    </row>
    <row r="1191" spans="1:4" x14ac:dyDescent="0.25">
      <c r="A1191" t="s">
        <v>87</v>
      </c>
      <c r="B1191" t="s">
        <v>67</v>
      </c>
      <c r="C1191" t="s">
        <v>486</v>
      </c>
      <c r="D1191">
        <v>1.1000000000000001</v>
      </c>
    </row>
    <row r="1192" spans="1:4" x14ac:dyDescent="0.25">
      <c r="A1192" t="s">
        <v>87</v>
      </c>
      <c r="B1192" t="s">
        <v>67</v>
      </c>
      <c r="C1192" t="s">
        <v>487</v>
      </c>
      <c r="D1192">
        <v>1.1000000000000001</v>
      </c>
    </row>
    <row r="1193" spans="1:4" x14ac:dyDescent="0.25">
      <c r="A1193" t="s">
        <v>87</v>
      </c>
      <c r="B1193" t="s">
        <v>67</v>
      </c>
      <c r="C1193" t="s">
        <v>496</v>
      </c>
      <c r="D1193">
        <v>1.1000000000000001</v>
      </c>
    </row>
    <row r="1194" spans="1:4" x14ac:dyDescent="0.25">
      <c r="A1194" t="s">
        <v>87</v>
      </c>
      <c r="B1194" t="s">
        <v>67</v>
      </c>
      <c r="C1194" t="s">
        <v>499</v>
      </c>
      <c r="D1194">
        <v>1.1000000000000001</v>
      </c>
    </row>
    <row r="1195" spans="1:4" x14ac:dyDescent="0.25">
      <c r="A1195" t="s">
        <v>90</v>
      </c>
      <c r="B1195" t="s">
        <v>91</v>
      </c>
      <c r="C1195" t="s">
        <v>479</v>
      </c>
      <c r="D1195">
        <v>-15.5</v>
      </c>
    </row>
    <row r="1196" spans="1:4" x14ac:dyDescent="0.25">
      <c r="A1196" t="s">
        <v>90</v>
      </c>
      <c r="B1196" t="s">
        <v>91</v>
      </c>
      <c r="C1196" t="s">
        <v>481</v>
      </c>
      <c r="D1196">
        <v>-15.5</v>
      </c>
    </row>
    <row r="1197" spans="1:4" x14ac:dyDescent="0.25">
      <c r="A1197" t="s">
        <v>90</v>
      </c>
      <c r="B1197" t="s">
        <v>91</v>
      </c>
      <c r="C1197" t="s">
        <v>491</v>
      </c>
      <c r="D1197">
        <v>-15.5</v>
      </c>
    </row>
    <row r="1198" spans="1:4" x14ac:dyDescent="0.25">
      <c r="A1198" t="s">
        <v>90</v>
      </c>
      <c r="B1198" t="s">
        <v>91</v>
      </c>
      <c r="C1198" t="s">
        <v>492</v>
      </c>
      <c r="D1198">
        <v>-15.5</v>
      </c>
    </row>
    <row r="1199" spans="1:4" x14ac:dyDescent="0.25">
      <c r="A1199" t="s">
        <v>90</v>
      </c>
      <c r="B1199" t="s">
        <v>91</v>
      </c>
      <c r="C1199" t="s">
        <v>483</v>
      </c>
      <c r="D1199">
        <v>-15.5</v>
      </c>
    </row>
    <row r="1200" spans="1:4" x14ac:dyDescent="0.25">
      <c r="A1200" t="s">
        <v>90</v>
      </c>
      <c r="B1200" t="s">
        <v>91</v>
      </c>
      <c r="C1200" t="s">
        <v>493</v>
      </c>
      <c r="D1200">
        <v>-15.5</v>
      </c>
    </row>
    <row r="1201" spans="1:4" x14ac:dyDescent="0.25">
      <c r="A1201" t="s">
        <v>90</v>
      </c>
      <c r="B1201" t="s">
        <v>91</v>
      </c>
      <c r="C1201" t="s">
        <v>486</v>
      </c>
      <c r="D1201">
        <v>-15.5</v>
      </c>
    </row>
    <row r="1202" spans="1:4" x14ac:dyDescent="0.25">
      <c r="A1202" t="s">
        <v>90</v>
      </c>
      <c r="B1202" t="s">
        <v>91</v>
      </c>
      <c r="C1202" t="s">
        <v>487</v>
      </c>
      <c r="D1202">
        <v>-15.5</v>
      </c>
    </row>
    <row r="1203" spans="1:4" x14ac:dyDescent="0.25">
      <c r="A1203" t="s">
        <v>90</v>
      </c>
      <c r="B1203" t="s">
        <v>91</v>
      </c>
      <c r="C1203" t="s">
        <v>496</v>
      </c>
      <c r="D1203">
        <v>-15.5</v>
      </c>
    </row>
    <row r="1204" spans="1:4" x14ac:dyDescent="0.25">
      <c r="A1204" t="s">
        <v>90</v>
      </c>
      <c r="B1204" t="s">
        <v>91</v>
      </c>
      <c r="C1204" t="s">
        <v>499</v>
      </c>
      <c r="D1204">
        <v>-15.5</v>
      </c>
    </row>
    <row r="1205" spans="1:4" x14ac:dyDescent="0.25">
      <c r="A1205" t="s">
        <v>90</v>
      </c>
      <c r="B1205" t="s">
        <v>92</v>
      </c>
      <c r="C1205" t="s">
        <v>479</v>
      </c>
      <c r="D1205">
        <v>8.3000000000000007</v>
      </c>
    </row>
    <row r="1206" spans="1:4" x14ac:dyDescent="0.25">
      <c r="A1206" t="s">
        <v>90</v>
      </c>
      <c r="B1206" t="s">
        <v>92</v>
      </c>
      <c r="C1206" t="s">
        <v>481</v>
      </c>
      <c r="D1206">
        <v>8.3000000000000007</v>
      </c>
    </row>
    <row r="1207" spans="1:4" x14ac:dyDescent="0.25">
      <c r="A1207" t="s">
        <v>90</v>
      </c>
      <c r="B1207" t="s">
        <v>92</v>
      </c>
      <c r="C1207" t="s">
        <v>491</v>
      </c>
      <c r="D1207">
        <v>8.3000000000000007</v>
      </c>
    </row>
    <row r="1208" spans="1:4" x14ac:dyDescent="0.25">
      <c r="A1208" t="s">
        <v>90</v>
      </c>
      <c r="B1208" t="s">
        <v>92</v>
      </c>
      <c r="C1208" t="s">
        <v>492</v>
      </c>
      <c r="D1208">
        <v>8.3000000000000007</v>
      </c>
    </row>
    <row r="1209" spans="1:4" x14ac:dyDescent="0.25">
      <c r="A1209" t="s">
        <v>90</v>
      </c>
      <c r="B1209" t="s">
        <v>92</v>
      </c>
      <c r="C1209" t="s">
        <v>483</v>
      </c>
      <c r="D1209">
        <v>8.3000000000000007</v>
      </c>
    </row>
    <row r="1210" spans="1:4" x14ac:dyDescent="0.25">
      <c r="A1210" t="s">
        <v>90</v>
      </c>
      <c r="B1210" t="s">
        <v>92</v>
      </c>
      <c r="C1210" t="s">
        <v>493</v>
      </c>
      <c r="D1210">
        <v>8.3000000000000007</v>
      </c>
    </row>
    <row r="1211" spans="1:4" x14ac:dyDescent="0.25">
      <c r="A1211" t="s">
        <v>90</v>
      </c>
      <c r="B1211" t="s">
        <v>92</v>
      </c>
      <c r="C1211" t="s">
        <v>486</v>
      </c>
      <c r="D1211">
        <v>8.3000000000000007</v>
      </c>
    </row>
    <row r="1212" spans="1:4" x14ac:dyDescent="0.25">
      <c r="A1212" t="s">
        <v>90</v>
      </c>
      <c r="B1212" t="s">
        <v>92</v>
      </c>
      <c r="C1212" t="s">
        <v>487</v>
      </c>
      <c r="D1212">
        <v>8.3000000000000007</v>
      </c>
    </row>
    <row r="1213" spans="1:4" x14ac:dyDescent="0.25">
      <c r="A1213" t="s">
        <v>90</v>
      </c>
      <c r="B1213" t="s">
        <v>92</v>
      </c>
      <c r="C1213" t="s">
        <v>496</v>
      </c>
      <c r="D1213">
        <v>8.3000000000000007</v>
      </c>
    </row>
    <row r="1214" spans="1:4" x14ac:dyDescent="0.25">
      <c r="A1214" t="s">
        <v>90</v>
      </c>
      <c r="B1214" t="s">
        <v>92</v>
      </c>
      <c r="C1214" t="s">
        <v>499</v>
      </c>
      <c r="D1214">
        <v>8.3000000000000007</v>
      </c>
    </row>
    <row r="1215" spans="1:4" x14ac:dyDescent="0.25">
      <c r="A1215" t="s">
        <v>90</v>
      </c>
      <c r="B1215" t="s">
        <v>63</v>
      </c>
      <c r="C1215" t="s">
        <v>479</v>
      </c>
      <c r="D1215">
        <v>31</v>
      </c>
    </row>
    <row r="1216" spans="1:4" x14ac:dyDescent="0.25">
      <c r="A1216" t="s">
        <v>90</v>
      </c>
      <c r="B1216" t="s">
        <v>63</v>
      </c>
      <c r="C1216" t="s">
        <v>481</v>
      </c>
      <c r="D1216">
        <v>31</v>
      </c>
    </row>
    <row r="1217" spans="1:4" x14ac:dyDescent="0.25">
      <c r="A1217" t="s">
        <v>90</v>
      </c>
      <c r="B1217" t="s">
        <v>63</v>
      </c>
      <c r="C1217" t="s">
        <v>491</v>
      </c>
      <c r="D1217">
        <v>31</v>
      </c>
    </row>
    <row r="1218" spans="1:4" x14ac:dyDescent="0.25">
      <c r="A1218" t="s">
        <v>90</v>
      </c>
      <c r="B1218" t="s">
        <v>63</v>
      </c>
      <c r="C1218" t="s">
        <v>492</v>
      </c>
      <c r="D1218">
        <v>31</v>
      </c>
    </row>
    <row r="1219" spans="1:4" x14ac:dyDescent="0.25">
      <c r="A1219" t="s">
        <v>90</v>
      </c>
      <c r="B1219" t="s">
        <v>63</v>
      </c>
      <c r="C1219" t="s">
        <v>483</v>
      </c>
      <c r="D1219">
        <v>31</v>
      </c>
    </row>
    <row r="1220" spans="1:4" x14ac:dyDescent="0.25">
      <c r="A1220" t="s">
        <v>90</v>
      </c>
      <c r="B1220" t="s">
        <v>63</v>
      </c>
      <c r="C1220" t="s">
        <v>493</v>
      </c>
      <c r="D1220">
        <v>31</v>
      </c>
    </row>
    <row r="1221" spans="1:4" x14ac:dyDescent="0.25">
      <c r="A1221" t="s">
        <v>90</v>
      </c>
      <c r="B1221" t="s">
        <v>63</v>
      </c>
      <c r="C1221" t="s">
        <v>486</v>
      </c>
      <c r="D1221">
        <v>31</v>
      </c>
    </row>
    <row r="1222" spans="1:4" x14ac:dyDescent="0.25">
      <c r="A1222" t="s">
        <v>90</v>
      </c>
      <c r="B1222" t="s">
        <v>63</v>
      </c>
      <c r="C1222" t="s">
        <v>487</v>
      </c>
      <c r="D1222">
        <v>31</v>
      </c>
    </row>
    <row r="1223" spans="1:4" x14ac:dyDescent="0.25">
      <c r="A1223" t="s">
        <v>90</v>
      </c>
      <c r="B1223" t="s">
        <v>63</v>
      </c>
      <c r="C1223" t="s">
        <v>496</v>
      </c>
      <c r="D1223">
        <v>31</v>
      </c>
    </row>
    <row r="1224" spans="1:4" x14ac:dyDescent="0.25">
      <c r="A1224" t="s">
        <v>90</v>
      </c>
      <c r="B1224" t="s">
        <v>63</v>
      </c>
      <c r="C1224" t="s">
        <v>499</v>
      </c>
      <c r="D1224">
        <v>31</v>
      </c>
    </row>
    <row r="1225" spans="1:4" x14ac:dyDescent="0.25">
      <c r="A1225" t="s">
        <v>90</v>
      </c>
      <c r="B1225" t="s">
        <v>27</v>
      </c>
      <c r="C1225" t="s">
        <v>479</v>
      </c>
      <c r="D1225">
        <v>4</v>
      </c>
    </row>
    <row r="1226" spans="1:4" x14ac:dyDescent="0.25">
      <c r="A1226" t="s">
        <v>90</v>
      </c>
      <c r="B1226" t="s">
        <v>27</v>
      </c>
      <c r="C1226" t="s">
        <v>481</v>
      </c>
      <c r="D1226">
        <v>4</v>
      </c>
    </row>
    <row r="1227" spans="1:4" x14ac:dyDescent="0.25">
      <c r="A1227" t="s">
        <v>90</v>
      </c>
      <c r="B1227" t="s">
        <v>27</v>
      </c>
      <c r="C1227" t="s">
        <v>491</v>
      </c>
      <c r="D1227">
        <v>4</v>
      </c>
    </row>
    <row r="1228" spans="1:4" x14ac:dyDescent="0.25">
      <c r="A1228" t="s">
        <v>90</v>
      </c>
      <c r="B1228" t="s">
        <v>27</v>
      </c>
      <c r="C1228" t="s">
        <v>492</v>
      </c>
      <c r="D1228">
        <v>4</v>
      </c>
    </row>
    <row r="1229" spans="1:4" x14ac:dyDescent="0.25">
      <c r="A1229" t="s">
        <v>90</v>
      </c>
      <c r="B1229" t="s">
        <v>27</v>
      </c>
      <c r="C1229" t="s">
        <v>483</v>
      </c>
      <c r="D1229">
        <v>4</v>
      </c>
    </row>
    <row r="1230" spans="1:4" x14ac:dyDescent="0.25">
      <c r="A1230" t="s">
        <v>90</v>
      </c>
      <c r="B1230" t="s">
        <v>27</v>
      </c>
      <c r="C1230" t="s">
        <v>493</v>
      </c>
      <c r="D1230">
        <v>4</v>
      </c>
    </row>
    <row r="1231" spans="1:4" x14ac:dyDescent="0.25">
      <c r="A1231" t="s">
        <v>90</v>
      </c>
      <c r="B1231" t="s">
        <v>27</v>
      </c>
      <c r="C1231" t="s">
        <v>486</v>
      </c>
      <c r="D1231">
        <v>4</v>
      </c>
    </row>
    <row r="1232" spans="1:4" x14ac:dyDescent="0.25">
      <c r="A1232" t="s">
        <v>90</v>
      </c>
      <c r="B1232" t="s">
        <v>27</v>
      </c>
      <c r="C1232" t="s">
        <v>487</v>
      </c>
      <c r="D1232">
        <v>4</v>
      </c>
    </row>
    <row r="1233" spans="1:4" x14ac:dyDescent="0.25">
      <c r="A1233" t="s">
        <v>90</v>
      </c>
      <c r="B1233" t="s">
        <v>27</v>
      </c>
      <c r="C1233" t="s">
        <v>496</v>
      </c>
      <c r="D1233">
        <v>4</v>
      </c>
    </row>
    <row r="1234" spans="1:4" x14ac:dyDescent="0.25">
      <c r="A1234" t="s">
        <v>90</v>
      </c>
      <c r="B1234" t="s">
        <v>27</v>
      </c>
      <c r="C1234" t="s">
        <v>499</v>
      </c>
      <c r="D1234">
        <v>4</v>
      </c>
    </row>
    <row r="1235" spans="1:4" x14ac:dyDescent="0.25">
      <c r="A1235" t="s">
        <v>90</v>
      </c>
      <c r="B1235" t="s">
        <v>64</v>
      </c>
      <c r="C1235" t="s">
        <v>479</v>
      </c>
      <c r="D1235">
        <v>85.2</v>
      </c>
    </row>
    <row r="1236" spans="1:4" x14ac:dyDescent="0.25">
      <c r="A1236" t="s">
        <v>90</v>
      </c>
      <c r="B1236" t="s">
        <v>64</v>
      </c>
      <c r="C1236" t="s">
        <v>481</v>
      </c>
      <c r="D1236">
        <v>85.2</v>
      </c>
    </row>
    <row r="1237" spans="1:4" x14ac:dyDescent="0.25">
      <c r="A1237" t="s">
        <v>90</v>
      </c>
      <c r="B1237" t="s">
        <v>64</v>
      </c>
      <c r="C1237" t="s">
        <v>491</v>
      </c>
      <c r="D1237">
        <v>85.2</v>
      </c>
    </row>
    <row r="1238" spans="1:4" x14ac:dyDescent="0.25">
      <c r="A1238" t="s">
        <v>90</v>
      </c>
      <c r="B1238" t="s">
        <v>64</v>
      </c>
      <c r="C1238" t="s">
        <v>492</v>
      </c>
      <c r="D1238">
        <v>85.2</v>
      </c>
    </row>
    <row r="1239" spans="1:4" x14ac:dyDescent="0.25">
      <c r="A1239" t="s">
        <v>90</v>
      </c>
      <c r="B1239" t="s">
        <v>64</v>
      </c>
      <c r="C1239" t="s">
        <v>483</v>
      </c>
      <c r="D1239">
        <v>85.2</v>
      </c>
    </row>
    <row r="1240" spans="1:4" x14ac:dyDescent="0.25">
      <c r="A1240" t="s">
        <v>90</v>
      </c>
      <c r="B1240" t="s">
        <v>64</v>
      </c>
      <c r="C1240" t="s">
        <v>493</v>
      </c>
      <c r="D1240">
        <v>85.2</v>
      </c>
    </row>
    <row r="1241" spans="1:4" x14ac:dyDescent="0.25">
      <c r="A1241" t="s">
        <v>90</v>
      </c>
      <c r="B1241" t="s">
        <v>64</v>
      </c>
      <c r="C1241" t="s">
        <v>486</v>
      </c>
      <c r="D1241">
        <v>85.2</v>
      </c>
    </row>
    <row r="1242" spans="1:4" x14ac:dyDescent="0.25">
      <c r="A1242" t="s">
        <v>90</v>
      </c>
      <c r="B1242" t="s">
        <v>64</v>
      </c>
      <c r="C1242" t="s">
        <v>487</v>
      </c>
      <c r="D1242">
        <v>85.2</v>
      </c>
    </row>
    <row r="1243" spans="1:4" x14ac:dyDescent="0.25">
      <c r="A1243" t="s">
        <v>90</v>
      </c>
      <c r="B1243" t="s">
        <v>64</v>
      </c>
      <c r="C1243" t="s">
        <v>496</v>
      </c>
      <c r="D1243">
        <v>85.2</v>
      </c>
    </row>
    <row r="1244" spans="1:4" x14ac:dyDescent="0.25">
      <c r="A1244" t="s">
        <v>90</v>
      </c>
      <c r="B1244" t="s">
        <v>64</v>
      </c>
      <c r="C1244" t="s">
        <v>499</v>
      </c>
      <c r="D1244">
        <v>85.2</v>
      </c>
    </row>
    <row r="1245" spans="1:4" x14ac:dyDescent="0.25">
      <c r="A1245" t="s">
        <v>90</v>
      </c>
      <c r="B1245" t="s">
        <v>24</v>
      </c>
      <c r="C1245" t="s">
        <v>479</v>
      </c>
      <c r="D1245">
        <v>46.4</v>
      </c>
    </row>
    <row r="1246" spans="1:4" x14ac:dyDescent="0.25">
      <c r="A1246" t="s">
        <v>90</v>
      </c>
      <c r="B1246" t="s">
        <v>24</v>
      </c>
      <c r="C1246" t="s">
        <v>481</v>
      </c>
      <c r="D1246">
        <v>46.4</v>
      </c>
    </row>
    <row r="1247" spans="1:4" x14ac:dyDescent="0.25">
      <c r="A1247" t="s">
        <v>90</v>
      </c>
      <c r="B1247" t="s">
        <v>24</v>
      </c>
      <c r="C1247" t="s">
        <v>491</v>
      </c>
      <c r="D1247">
        <v>46.4</v>
      </c>
    </row>
    <row r="1248" spans="1:4" x14ac:dyDescent="0.25">
      <c r="A1248" t="s">
        <v>90</v>
      </c>
      <c r="B1248" t="s">
        <v>24</v>
      </c>
      <c r="C1248" t="s">
        <v>492</v>
      </c>
      <c r="D1248">
        <v>46.4</v>
      </c>
    </row>
    <row r="1249" spans="1:4" x14ac:dyDescent="0.25">
      <c r="A1249" t="s">
        <v>90</v>
      </c>
      <c r="B1249" t="s">
        <v>24</v>
      </c>
      <c r="C1249" t="s">
        <v>483</v>
      </c>
      <c r="D1249">
        <v>46.4</v>
      </c>
    </row>
    <row r="1250" spans="1:4" x14ac:dyDescent="0.25">
      <c r="A1250" t="s">
        <v>90</v>
      </c>
      <c r="B1250" t="s">
        <v>24</v>
      </c>
      <c r="C1250" t="s">
        <v>493</v>
      </c>
      <c r="D1250">
        <v>46.4</v>
      </c>
    </row>
    <row r="1251" spans="1:4" x14ac:dyDescent="0.25">
      <c r="A1251" t="s">
        <v>90</v>
      </c>
      <c r="B1251" t="s">
        <v>24</v>
      </c>
      <c r="C1251" t="s">
        <v>486</v>
      </c>
      <c r="D1251">
        <v>46.4</v>
      </c>
    </row>
    <row r="1252" spans="1:4" x14ac:dyDescent="0.25">
      <c r="A1252" t="s">
        <v>90</v>
      </c>
      <c r="B1252" t="s">
        <v>24</v>
      </c>
      <c r="C1252" t="s">
        <v>487</v>
      </c>
      <c r="D1252">
        <v>46.4</v>
      </c>
    </row>
    <row r="1253" spans="1:4" x14ac:dyDescent="0.25">
      <c r="A1253" t="s">
        <v>90</v>
      </c>
      <c r="B1253" t="s">
        <v>24</v>
      </c>
      <c r="C1253" t="s">
        <v>496</v>
      </c>
      <c r="D1253">
        <v>46.4</v>
      </c>
    </row>
    <row r="1254" spans="1:4" x14ac:dyDescent="0.25">
      <c r="A1254" t="s">
        <v>90</v>
      </c>
      <c r="B1254" t="s">
        <v>24</v>
      </c>
      <c r="C1254" t="s">
        <v>499</v>
      </c>
      <c r="D1254">
        <v>46.4</v>
      </c>
    </row>
    <row r="1255" spans="1:4" x14ac:dyDescent="0.25">
      <c r="A1255" t="s">
        <v>90</v>
      </c>
      <c r="B1255" t="s">
        <v>5</v>
      </c>
      <c r="C1255" t="s">
        <v>479</v>
      </c>
      <c r="D1255">
        <v>35</v>
      </c>
    </row>
    <row r="1256" spans="1:4" x14ac:dyDescent="0.25">
      <c r="A1256" t="s">
        <v>90</v>
      </c>
      <c r="B1256" t="s">
        <v>5</v>
      </c>
      <c r="C1256" t="s">
        <v>481</v>
      </c>
      <c r="D1256">
        <v>35</v>
      </c>
    </row>
    <row r="1257" spans="1:4" x14ac:dyDescent="0.25">
      <c r="A1257" t="s">
        <v>90</v>
      </c>
      <c r="B1257" t="s">
        <v>5</v>
      </c>
      <c r="C1257" t="s">
        <v>491</v>
      </c>
      <c r="D1257">
        <v>35</v>
      </c>
    </row>
    <row r="1258" spans="1:4" x14ac:dyDescent="0.25">
      <c r="A1258" t="s">
        <v>90</v>
      </c>
      <c r="B1258" t="s">
        <v>5</v>
      </c>
      <c r="C1258" t="s">
        <v>492</v>
      </c>
      <c r="D1258">
        <v>35</v>
      </c>
    </row>
    <row r="1259" spans="1:4" x14ac:dyDescent="0.25">
      <c r="A1259" t="s">
        <v>90</v>
      </c>
      <c r="B1259" t="s">
        <v>5</v>
      </c>
      <c r="C1259" t="s">
        <v>483</v>
      </c>
      <c r="D1259">
        <v>35</v>
      </c>
    </row>
    <row r="1260" spans="1:4" x14ac:dyDescent="0.25">
      <c r="A1260" t="s">
        <v>90</v>
      </c>
      <c r="B1260" t="s">
        <v>5</v>
      </c>
      <c r="C1260" t="s">
        <v>493</v>
      </c>
      <c r="D1260">
        <v>35</v>
      </c>
    </row>
    <row r="1261" spans="1:4" x14ac:dyDescent="0.25">
      <c r="A1261" t="s">
        <v>90</v>
      </c>
      <c r="B1261" t="s">
        <v>5</v>
      </c>
      <c r="C1261" t="s">
        <v>486</v>
      </c>
      <c r="D1261">
        <v>35</v>
      </c>
    </row>
    <row r="1262" spans="1:4" x14ac:dyDescent="0.25">
      <c r="A1262" t="s">
        <v>90</v>
      </c>
      <c r="B1262" t="s">
        <v>5</v>
      </c>
      <c r="C1262" t="s">
        <v>487</v>
      </c>
      <c r="D1262">
        <v>35</v>
      </c>
    </row>
    <row r="1263" spans="1:4" x14ac:dyDescent="0.25">
      <c r="A1263" t="s">
        <v>90</v>
      </c>
      <c r="B1263" t="s">
        <v>5</v>
      </c>
      <c r="C1263" t="s">
        <v>496</v>
      </c>
      <c r="D1263">
        <v>35</v>
      </c>
    </row>
    <row r="1264" spans="1:4" x14ac:dyDescent="0.25">
      <c r="A1264" t="s">
        <v>90</v>
      </c>
      <c r="B1264" t="s">
        <v>5</v>
      </c>
      <c r="C1264" t="s">
        <v>499</v>
      </c>
      <c r="D1264">
        <v>35</v>
      </c>
    </row>
    <row r="1265" spans="1:4" x14ac:dyDescent="0.25">
      <c r="A1265" t="s">
        <v>90</v>
      </c>
      <c r="B1265" t="s">
        <v>22</v>
      </c>
      <c r="C1265" t="s">
        <v>479</v>
      </c>
      <c r="D1265">
        <v>0.34</v>
      </c>
    </row>
    <row r="1266" spans="1:4" x14ac:dyDescent="0.25">
      <c r="A1266" t="s">
        <v>90</v>
      </c>
      <c r="B1266" t="s">
        <v>22</v>
      </c>
      <c r="C1266" t="s">
        <v>481</v>
      </c>
      <c r="D1266">
        <v>0.34</v>
      </c>
    </row>
    <row r="1267" spans="1:4" x14ac:dyDescent="0.25">
      <c r="A1267" t="s">
        <v>90</v>
      </c>
      <c r="B1267" t="s">
        <v>22</v>
      </c>
      <c r="C1267" t="s">
        <v>491</v>
      </c>
      <c r="D1267">
        <v>0.34</v>
      </c>
    </row>
    <row r="1268" spans="1:4" x14ac:dyDescent="0.25">
      <c r="A1268" t="s">
        <v>90</v>
      </c>
      <c r="B1268" t="s">
        <v>22</v>
      </c>
      <c r="C1268" t="s">
        <v>492</v>
      </c>
      <c r="D1268">
        <v>0.34</v>
      </c>
    </row>
    <row r="1269" spans="1:4" x14ac:dyDescent="0.25">
      <c r="A1269" t="s">
        <v>90</v>
      </c>
      <c r="B1269" t="s">
        <v>22</v>
      </c>
      <c r="C1269" t="s">
        <v>483</v>
      </c>
      <c r="D1269">
        <v>0.34</v>
      </c>
    </row>
    <row r="1270" spans="1:4" x14ac:dyDescent="0.25">
      <c r="A1270" t="s">
        <v>90</v>
      </c>
      <c r="B1270" t="s">
        <v>22</v>
      </c>
      <c r="C1270" t="s">
        <v>493</v>
      </c>
      <c r="D1270">
        <v>0.34</v>
      </c>
    </row>
    <row r="1271" spans="1:4" x14ac:dyDescent="0.25">
      <c r="A1271" t="s">
        <v>90</v>
      </c>
      <c r="B1271" t="s">
        <v>22</v>
      </c>
      <c r="C1271" t="s">
        <v>486</v>
      </c>
      <c r="D1271">
        <v>0.34</v>
      </c>
    </row>
    <row r="1272" spans="1:4" x14ac:dyDescent="0.25">
      <c r="A1272" t="s">
        <v>90</v>
      </c>
      <c r="B1272" t="s">
        <v>22</v>
      </c>
      <c r="C1272" t="s">
        <v>487</v>
      </c>
      <c r="D1272">
        <v>0.34</v>
      </c>
    </row>
    <row r="1273" spans="1:4" x14ac:dyDescent="0.25">
      <c r="A1273" t="s">
        <v>90</v>
      </c>
      <c r="B1273" t="s">
        <v>22</v>
      </c>
      <c r="C1273" t="s">
        <v>496</v>
      </c>
      <c r="D1273">
        <v>0.34</v>
      </c>
    </row>
    <row r="1274" spans="1:4" x14ac:dyDescent="0.25">
      <c r="A1274" t="s">
        <v>90</v>
      </c>
      <c r="B1274" t="s">
        <v>22</v>
      </c>
      <c r="C1274" t="s">
        <v>499</v>
      </c>
      <c r="D1274">
        <v>0.34</v>
      </c>
    </row>
    <row r="1275" spans="1:4" x14ac:dyDescent="0.25">
      <c r="A1275" t="s">
        <v>90</v>
      </c>
      <c r="B1275" t="s">
        <v>93</v>
      </c>
      <c r="C1275" t="s">
        <v>479</v>
      </c>
      <c r="D1275">
        <v>1</v>
      </c>
    </row>
    <row r="1276" spans="1:4" x14ac:dyDescent="0.25">
      <c r="A1276" t="s">
        <v>90</v>
      </c>
      <c r="B1276" t="s">
        <v>93</v>
      </c>
      <c r="C1276" t="s">
        <v>481</v>
      </c>
      <c r="D1276">
        <v>1</v>
      </c>
    </row>
    <row r="1277" spans="1:4" x14ac:dyDescent="0.25">
      <c r="A1277" t="s">
        <v>90</v>
      </c>
      <c r="B1277" t="s">
        <v>93</v>
      </c>
      <c r="C1277" t="s">
        <v>491</v>
      </c>
      <c r="D1277">
        <v>1</v>
      </c>
    </row>
    <row r="1278" spans="1:4" x14ac:dyDescent="0.25">
      <c r="A1278" t="s">
        <v>90</v>
      </c>
      <c r="B1278" t="s">
        <v>93</v>
      </c>
      <c r="C1278" t="s">
        <v>492</v>
      </c>
      <c r="D1278">
        <v>1</v>
      </c>
    </row>
    <row r="1279" spans="1:4" x14ac:dyDescent="0.25">
      <c r="A1279" t="s">
        <v>90</v>
      </c>
      <c r="B1279" t="s">
        <v>93</v>
      </c>
      <c r="C1279" t="s">
        <v>483</v>
      </c>
      <c r="D1279">
        <v>1</v>
      </c>
    </row>
    <row r="1280" spans="1:4" x14ac:dyDescent="0.25">
      <c r="A1280" t="s">
        <v>90</v>
      </c>
      <c r="B1280" t="s">
        <v>93</v>
      </c>
      <c r="C1280" t="s">
        <v>493</v>
      </c>
      <c r="D1280">
        <v>1</v>
      </c>
    </row>
    <row r="1281" spans="1:4" x14ac:dyDescent="0.25">
      <c r="A1281" t="s">
        <v>90</v>
      </c>
      <c r="B1281" t="s">
        <v>93</v>
      </c>
      <c r="C1281" t="s">
        <v>486</v>
      </c>
      <c r="D1281">
        <v>1</v>
      </c>
    </row>
    <row r="1282" spans="1:4" x14ac:dyDescent="0.25">
      <c r="A1282" t="s">
        <v>90</v>
      </c>
      <c r="B1282" t="s">
        <v>93</v>
      </c>
      <c r="C1282" t="s">
        <v>487</v>
      </c>
      <c r="D1282">
        <v>1</v>
      </c>
    </row>
    <row r="1283" spans="1:4" x14ac:dyDescent="0.25">
      <c r="A1283" t="s">
        <v>90</v>
      </c>
      <c r="B1283" t="s">
        <v>93</v>
      </c>
      <c r="C1283" t="s">
        <v>496</v>
      </c>
      <c r="D1283">
        <v>1</v>
      </c>
    </row>
    <row r="1284" spans="1:4" x14ac:dyDescent="0.25">
      <c r="A1284" t="s">
        <v>90</v>
      </c>
      <c r="B1284" t="s">
        <v>93</v>
      </c>
      <c r="C1284" t="s">
        <v>499</v>
      </c>
      <c r="D1284">
        <v>1</v>
      </c>
    </row>
    <row r="1285" spans="1:4" x14ac:dyDescent="0.25">
      <c r="A1285" t="s">
        <v>90</v>
      </c>
      <c r="B1285" t="s">
        <v>89</v>
      </c>
      <c r="C1285" t="s">
        <v>479</v>
      </c>
      <c r="D1285">
        <v>2</v>
      </c>
    </row>
    <row r="1286" spans="1:4" x14ac:dyDescent="0.25">
      <c r="A1286" t="s">
        <v>90</v>
      </c>
      <c r="B1286" t="s">
        <v>89</v>
      </c>
      <c r="C1286" t="s">
        <v>481</v>
      </c>
      <c r="D1286">
        <v>2</v>
      </c>
    </row>
    <row r="1287" spans="1:4" x14ac:dyDescent="0.25">
      <c r="A1287" t="s">
        <v>90</v>
      </c>
      <c r="B1287" t="s">
        <v>89</v>
      </c>
      <c r="C1287" t="s">
        <v>491</v>
      </c>
      <c r="D1287">
        <v>2</v>
      </c>
    </row>
    <row r="1288" spans="1:4" x14ac:dyDescent="0.25">
      <c r="A1288" t="s">
        <v>90</v>
      </c>
      <c r="B1288" t="s">
        <v>89</v>
      </c>
      <c r="C1288" t="s">
        <v>492</v>
      </c>
      <c r="D1288">
        <v>2</v>
      </c>
    </row>
    <row r="1289" spans="1:4" x14ac:dyDescent="0.25">
      <c r="A1289" t="s">
        <v>90</v>
      </c>
      <c r="B1289" t="s">
        <v>89</v>
      </c>
      <c r="C1289" t="s">
        <v>483</v>
      </c>
      <c r="D1289">
        <v>2</v>
      </c>
    </row>
    <row r="1290" spans="1:4" x14ac:dyDescent="0.25">
      <c r="A1290" t="s">
        <v>90</v>
      </c>
      <c r="B1290" t="s">
        <v>89</v>
      </c>
      <c r="C1290" t="s">
        <v>493</v>
      </c>
      <c r="D1290">
        <v>2</v>
      </c>
    </row>
    <row r="1291" spans="1:4" x14ac:dyDescent="0.25">
      <c r="A1291" t="s">
        <v>90</v>
      </c>
      <c r="B1291" t="s">
        <v>89</v>
      </c>
      <c r="C1291" t="s">
        <v>486</v>
      </c>
      <c r="D1291">
        <v>2</v>
      </c>
    </row>
    <row r="1292" spans="1:4" x14ac:dyDescent="0.25">
      <c r="A1292" t="s">
        <v>90</v>
      </c>
      <c r="B1292" t="s">
        <v>89</v>
      </c>
      <c r="C1292" t="s">
        <v>487</v>
      </c>
      <c r="D1292">
        <v>2</v>
      </c>
    </row>
    <row r="1293" spans="1:4" x14ac:dyDescent="0.25">
      <c r="A1293" t="s">
        <v>90</v>
      </c>
      <c r="B1293" t="s">
        <v>89</v>
      </c>
      <c r="C1293" t="s">
        <v>496</v>
      </c>
      <c r="D1293">
        <v>2</v>
      </c>
    </row>
    <row r="1294" spans="1:4" x14ac:dyDescent="0.25">
      <c r="A1294" t="s">
        <v>90</v>
      </c>
      <c r="B1294" t="s">
        <v>89</v>
      </c>
      <c r="C1294" t="s">
        <v>499</v>
      </c>
      <c r="D1294">
        <v>2</v>
      </c>
    </row>
    <row r="1295" spans="1:4" x14ac:dyDescent="0.25">
      <c r="A1295" t="s">
        <v>90</v>
      </c>
      <c r="B1295" t="s">
        <v>615</v>
      </c>
      <c r="C1295" t="s">
        <v>479</v>
      </c>
      <c r="D1295">
        <v>7.0000000000000007E-2</v>
      </c>
    </row>
    <row r="1296" spans="1:4" x14ac:dyDescent="0.25">
      <c r="A1296" t="s">
        <v>90</v>
      </c>
      <c r="B1296" t="s">
        <v>615</v>
      </c>
      <c r="C1296" t="s">
        <v>481</v>
      </c>
      <c r="D1296">
        <v>7.0000000000000007E-2</v>
      </c>
    </row>
    <row r="1297" spans="1:4" x14ac:dyDescent="0.25">
      <c r="A1297" t="s">
        <v>90</v>
      </c>
      <c r="B1297" t="s">
        <v>615</v>
      </c>
      <c r="C1297" t="s">
        <v>491</v>
      </c>
      <c r="D1297">
        <v>7.0000000000000007E-2</v>
      </c>
    </row>
    <row r="1298" spans="1:4" x14ac:dyDescent="0.25">
      <c r="A1298" t="s">
        <v>90</v>
      </c>
      <c r="B1298" t="s">
        <v>615</v>
      </c>
      <c r="C1298" t="s">
        <v>492</v>
      </c>
      <c r="D1298">
        <v>7.0000000000000007E-2</v>
      </c>
    </row>
    <row r="1299" spans="1:4" x14ac:dyDescent="0.25">
      <c r="A1299" t="s">
        <v>90</v>
      </c>
      <c r="B1299" t="s">
        <v>615</v>
      </c>
      <c r="C1299" t="s">
        <v>483</v>
      </c>
      <c r="D1299">
        <v>7.0000000000000007E-2</v>
      </c>
    </row>
    <row r="1300" spans="1:4" x14ac:dyDescent="0.25">
      <c r="A1300" t="s">
        <v>90</v>
      </c>
      <c r="B1300" t="s">
        <v>615</v>
      </c>
      <c r="C1300" t="s">
        <v>493</v>
      </c>
      <c r="D1300">
        <v>7.0000000000000007E-2</v>
      </c>
    </row>
    <row r="1301" spans="1:4" x14ac:dyDescent="0.25">
      <c r="A1301" t="s">
        <v>90</v>
      </c>
      <c r="B1301" t="s">
        <v>615</v>
      </c>
      <c r="C1301" t="s">
        <v>486</v>
      </c>
      <c r="D1301">
        <v>7.0000000000000007E-2</v>
      </c>
    </row>
    <row r="1302" spans="1:4" x14ac:dyDescent="0.25">
      <c r="A1302" t="s">
        <v>90</v>
      </c>
      <c r="B1302" t="s">
        <v>615</v>
      </c>
      <c r="C1302" t="s">
        <v>487</v>
      </c>
      <c r="D1302">
        <v>7.0000000000000007E-2</v>
      </c>
    </row>
    <row r="1303" spans="1:4" x14ac:dyDescent="0.25">
      <c r="A1303" t="s">
        <v>90</v>
      </c>
      <c r="B1303" t="s">
        <v>615</v>
      </c>
      <c r="C1303" t="s">
        <v>496</v>
      </c>
      <c r="D1303">
        <v>7.0000000000000007E-2</v>
      </c>
    </row>
    <row r="1304" spans="1:4" x14ac:dyDescent="0.25">
      <c r="A1304" t="s">
        <v>90</v>
      </c>
      <c r="B1304" t="s">
        <v>615</v>
      </c>
      <c r="C1304" t="s">
        <v>499</v>
      </c>
      <c r="D1304">
        <v>7.0000000000000007E-2</v>
      </c>
    </row>
    <row r="1305" spans="1:4" x14ac:dyDescent="0.25">
      <c r="A1305" t="s">
        <v>90</v>
      </c>
      <c r="B1305" t="s">
        <v>67</v>
      </c>
      <c r="C1305" t="s">
        <v>479</v>
      </c>
      <c r="D1305">
        <v>10</v>
      </c>
    </row>
    <row r="1306" spans="1:4" x14ac:dyDescent="0.25">
      <c r="A1306" t="s">
        <v>90</v>
      </c>
      <c r="B1306" t="s">
        <v>67</v>
      </c>
      <c r="C1306" t="s">
        <v>481</v>
      </c>
      <c r="D1306">
        <v>10</v>
      </c>
    </row>
    <row r="1307" spans="1:4" x14ac:dyDescent="0.25">
      <c r="A1307" t="s">
        <v>90</v>
      </c>
      <c r="B1307" t="s">
        <v>67</v>
      </c>
      <c r="C1307" t="s">
        <v>491</v>
      </c>
      <c r="D1307">
        <v>10</v>
      </c>
    </row>
    <row r="1308" spans="1:4" x14ac:dyDescent="0.25">
      <c r="A1308" t="s">
        <v>90</v>
      </c>
      <c r="B1308" t="s">
        <v>67</v>
      </c>
      <c r="C1308" t="s">
        <v>492</v>
      </c>
      <c r="D1308">
        <v>10</v>
      </c>
    </row>
    <row r="1309" spans="1:4" x14ac:dyDescent="0.25">
      <c r="A1309" t="s">
        <v>90</v>
      </c>
      <c r="B1309" t="s">
        <v>67</v>
      </c>
      <c r="C1309" t="s">
        <v>483</v>
      </c>
      <c r="D1309">
        <v>10</v>
      </c>
    </row>
    <row r="1310" spans="1:4" x14ac:dyDescent="0.25">
      <c r="A1310" t="s">
        <v>90</v>
      </c>
      <c r="B1310" t="s">
        <v>67</v>
      </c>
      <c r="C1310" t="s">
        <v>493</v>
      </c>
      <c r="D1310">
        <v>10</v>
      </c>
    </row>
    <row r="1311" spans="1:4" x14ac:dyDescent="0.25">
      <c r="A1311" t="s">
        <v>90</v>
      </c>
      <c r="B1311" t="s">
        <v>67</v>
      </c>
      <c r="C1311" t="s">
        <v>486</v>
      </c>
      <c r="D1311">
        <v>10</v>
      </c>
    </row>
    <row r="1312" spans="1:4" x14ac:dyDescent="0.25">
      <c r="A1312" t="s">
        <v>90</v>
      </c>
      <c r="B1312" t="s">
        <v>67</v>
      </c>
      <c r="C1312" t="s">
        <v>487</v>
      </c>
      <c r="D1312">
        <v>10</v>
      </c>
    </row>
    <row r="1313" spans="1:4" x14ac:dyDescent="0.25">
      <c r="A1313" t="s">
        <v>90</v>
      </c>
      <c r="B1313" t="s">
        <v>67</v>
      </c>
      <c r="C1313" t="s">
        <v>496</v>
      </c>
      <c r="D1313">
        <v>10</v>
      </c>
    </row>
    <row r="1314" spans="1:4" x14ac:dyDescent="0.25">
      <c r="A1314" t="s">
        <v>90</v>
      </c>
      <c r="B1314" t="s">
        <v>67</v>
      </c>
      <c r="C1314" t="s">
        <v>499</v>
      </c>
      <c r="D1314">
        <v>10</v>
      </c>
    </row>
    <row r="1315" spans="1:4" x14ac:dyDescent="0.25">
      <c r="A1315" t="s">
        <v>94</v>
      </c>
      <c r="B1315" t="s">
        <v>95</v>
      </c>
      <c r="C1315" t="s">
        <v>479</v>
      </c>
      <c r="D1315">
        <v>-0.66</v>
      </c>
    </row>
    <row r="1316" spans="1:4" x14ac:dyDescent="0.25">
      <c r="A1316" t="s">
        <v>94</v>
      </c>
      <c r="B1316" t="s">
        <v>95</v>
      </c>
      <c r="C1316" t="s">
        <v>481</v>
      </c>
      <c r="D1316">
        <v>-0.66</v>
      </c>
    </row>
    <row r="1317" spans="1:4" x14ac:dyDescent="0.25">
      <c r="A1317" t="s">
        <v>94</v>
      </c>
      <c r="B1317" t="s">
        <v>95</v>
      </c>
      <c r="C1317" t="s">
        <v>491</v>
      </c>
      <c r="D1317">
        <v>-0.66</v>
      </c>
    </row>
    <row r="1318" spans="1:4" x14ac:dyDescent="0.25">
      <c r="A1318" t="s">
        <v>94</v>
      </c>
      <c r="B1318" t="s">
        <v>95</v>
      </c>
      <c r="C1318" t="s">
        <v>492</v>
      </c>
      <c r="D1318">
        <v>-0.66</v>
      </c>
    </row>
    <row r="1319" spans="1:4" x14ac:dyDescent="0.25">
      <c r="A1319" t="s">
        <v>94</v>
      </c>
      <c r="B1319" t="s">
        <v>95</v>
      </c>
      <c r="C1319" t="s">
        <v>483</v>
      </c>
      <c r="D1319">
        <v>-0.66</v>
      </c>
    </row>
    <row r="1320" spans="1:4" x14ac:dyDescent="0.25">
      <c r="A1320" t="s">
        <v>94</v>
      </c>
      <c r="B1320" t="s">
        <v>95</v>
      </c>
      <c r="C1320" t="s">
        <v>493</v>
      </c>
      <c r="D1320">
        <v>-0.66</v>
      </c>
    </row>
    <row r="1321" spans="1:4" x14ac:dyDescent="0.25">
      <c r="A1321" t="s">
        <v>94</v>
      </c>
      <c r="B1321" t="s">
        <v>95</v>
      </c>
      <c r="C1321" t="s">
        <v>486</v>
      </c>
      <c r="D1321">
        <v>-0.66</v>
      </c>
    </row>
    <row r="1322" spans="1:4" x14ac:dyDescent="0.25">
      <c r="A1322" t="s">
        <v>94</v>
      </c>
      <c r="B1322" t="s">
        <v>95</v>
      </c>
      <c r="C1322" t="s">
        <v>487</v>
      </c>
      <c r="D1322">
        <v>-0.66</v>
      </c>
    </row>
    <row r="1323" spans="1:4" x14ac:dyDescent="0.25">
      <c r="A1323" t="s">
        <v>94</v>
      </c>
      <c r="B1323" t="s">
        <v>95</v>
      </c>
      <c r="C1323" t="s">
        <v>496</v>
      </c>
      <c r="D1323">
        <v>-0.66</v>
      </c>
    </row>
    <row r="1324" spans="1:4" x14ac:dyDescent="0.25">
      <c r="A1324" t="s">
        <v>94</v>
      </c>
      <c r="B1324" t="s">
        <v>95</v>
      </c>
      <c r="C1324" t="s">
        <v>499</v>
      </c>
      <c r="D1324">
        <v>-0.66</v>
      </c>
    </row>
    <row r="1325" spans="1:4" x14ac:dyDescent="0.25">
      <c r="A1325" t="s">
        <v>94</v>
      </c>
      <c r="B1325" t="s">
        <v>88</v>
      </c>
      <c r="C1325" t="s">
        <v>479</v>
      </c>
      <c r="D1325">
        <v>-2.5000000000000001E-2</v>
      </c>
    </row>
    <row r="1326" spans="1:4" x14ac:dyDescent="0.25">
      <c r="A1326" t="s">
        <v>94</v>
      </c>
      <c r="B1326" t="s">
        <v>88</v>
      </c>
      <c r="C1326" t="s">
        <v>481</v>
      </c>
      <c r="D1326">
        <v>-2.5000000000000001E-2</v>
      </c>
    </row>
    <row r="1327" spans="1:4" x14ac:dyDescent="0.25">
      <c r="A1327" t="s">
        <v>94</v>
      </c>
      <c r="B1327" t="s">
        <v>88</v>
      </c>
      <c r="C1327" t="s">
        <v>491</v>
      </c>
      <c r="D1327">
        <v>-2.5000000000000001E-2</v>
      </c>
    </row>
    <row r="1328" spans="1:4" x14ac:dyDescent="0.25">
      <c r="A1328" t="s">
        <v>94</v>
      </c>
      <c r="B1328" t="s">
        <v>88</v>
      </c>
      <c r="C1328" t="s">
        <v>492</v>
      </c>
      <c r="D1328">
        <v>-2.5000000000000001E-2</v>
      </c>
    </row>
    <row r="1329" spans="1:4" x14ac:dyDescent="0.25">
      <c r="A1329" t="s">
        <v>94</v>
      </c>
      <c r="B1329" t="s">
        <v>88</v>
      </c>
      <c r="C1329" t="s">
        <v>483</v>
      </c>
      <c r="D1329">
        <v>-2.5000000000000001E-2</v>
      </c>
    </row>
    <row r="1330" spans="1:4" x14ac:dyDescent="0.25">
      <c r="A1330" t="s">
        <v>94</v>
      </c>
      <c r="B1330" t="s">
        <v>88</v>
      </c>
      <c r="C1330" t="s">
        <v>493</v>
      </c>
      <c r="D1330">
        <v>-2.5000000000000001E-2</v>
      </c>
    </row>
    <row r="1331" spans="1:4" x14ac:dyDescent="0.25">
      <c r="A1331" t="s">
        <v>94</v>
      </c>
      <c r="B1331" t="s">
        <v>88</v>
      </c>
      <c r="C1331" t="s">
        <v>486</v>
      </c>
      <c r="D1331">
        <v>-2.5000000000000001E-2</v>
      </c>
    </row>
    <row r="1332" spans="1:4" x14ac:dyDescent="0.25">
      <c r="A1332" t="s">
        <v>94</v>
      </c>
      <c r="B1332" t="s">
        <v>88</v>
      </c>
      <c r="C1332" t="s">
        <v>487</v>
      </c>
      <c r="D1332">
        <v>-2.5000000000000001E-2</v>
      </c>
    </row>
    <row r="1333" spans="1:4" x14ac:dyDescent="0.25">
      <c r="A1333" t="s">
        <v>94</v>
      </c>
      <c r="B1333" t="s">
        <v>88</v>
      </c>
      <c r="C1333" t="s">
        <v>496</v>
      </c>
      <c r="D1333">
        <v>-2.5000000000000001E-2</v>
      </c>
    </row>
    <row r="1334" spans="1:4" x14ac:dyDescent="0.25">
      <c r="A1334" t="s">
        <v>94</v>
      </c>
      <c r="B1334" t="s">
        <v>88</v>
      </c>
      <c r="C1334" t="s">
        <v>499</v>
      </c>
      <c r="D1334">
        <v>-2.5000000000000001E-2</v>
      </c>
    </row>
    <row r="1335" spans="1:4" x14ac:dyDescent="0.25">
      <c r="A1335" t="s">
        <v>94</v>
      </c>
      <c r="B1335" t="s">
        <v>96</v>
      </c>
      <c r="C1335" t="s">
        <v>479</v>
      </c>
      <c r="D1335">
        <v>1</v>
      </c>
    </row>
    <row r="1336" spans="1:4" x14ac:dyDescent="0.25">
      <c r="A1336" t="s">
        <v>94</v>
      </c>
      <c r="B1336" t="s">
        <v>96</v>
      </c>
      <c r="C1336" t="s">
        <v>481</v>
      </c>
      <c r="D1336">
        <v>1</v>
      </c>
    </row>
    <row r="1337" spans="1:4" x14ac:dyDescent="0.25">
      <c r="A1337" t="s">
        <v>94</v>
      </c>
      <c r="B1337" t="s">
        <v>96</v>
      </c>
      <c r="C1337" t="s">
        <v>491</v>
      </c>
      <c r="D1337">
        <v>1</v>
      </c>
    </row>
    <row r="1338" spans="1:4" x14ac:dyDescent="0.25">
      <c r="A1338" t="s">
        <v>94</v>
      </c>
      <c r="B1338" t="s">
        <v>96</v>
      </c>
      <c r="C1338" t="s">
        <v>492</v>
      </c>
      <c r="D1338">
        <v>1</v>
      </c>
    </row>
    <row r="1339" spans="1:4" x14ac:dyDescent="0.25">
      <c r="A1339" t="s">
        <v>94</v>
      </c>
      <c r="B1339" t="s">
        <v>96</v>
      </c>
      <c r="C1339" t="s">
        <v>483</v>
      </c>
      <c r="D1339">
        <v>1</v>
      </c>
    </row>
    <row r="1340" spans="1:4" x14ac:dyDescent="0.25">
      <c r="A1340" t="s">
        <v>94</v>
      </c>
      <c r="B1340" t="s">
        <v>96</v>
      </c>
      <c r="C1340" t="s">
        <v>493</v>
      </c>
      <c r="D1340">
        <v>1</v>
      </c>
    </row>
    <row r="1341" spans="1:4" x14ac:dyDescent="0.25">
      <c r="A1341" t="s">
        <v>94</v>
      </c>
      <c r="B1341" t="s">
        <v>96</v>
      </c>
      <c r="C1341" t="s">
        <v>486</v>
      </c>
      <c r="D1341">
        <v>1</v>
      </c>
    </row>
    <row r="1342" spans="1:4" x14ac:dyDescent="0.25">
      <c r="A1342" t="s">
        <v>94</v>
      </c>
      <c r="B1342" t="s">
        <v>96</v>
      </c>
      <c r="C1342" t="s">
        <v>487</v>
      </c>
      <c r="D1342">
        <v>1</v>
      </c>
    </row>
    <row r="1343" spans="1:4" x14ac:dyDescent="0.25">
      <c r="A1343" t="s">
        <v>94</v>
      </c>
      <c r="B1343" t="s">
        <v>96</v>
      </c>
      <c r="C1343" t="s">
        <v>496</v>
      </c>
      <c r="D1343">
        <v>1</v>
      </c>
    </row>
    <row r="1344" spans="1:4" x14ac:dyDescent="0.25">
      <c r="A1344" t="s">
        <v>94</v>
      </c>
      <c r="B1344" t="s">
        <v>96</v>
      </c>
      <c r="C1344" t="s">
        <v>499</v>
      </c>
      <c r="D1344">
        <v>1</v>
      </c>
    </row>
    <row r="1345" spans="1:4" x14ac:dyDescent="0.25">
      <c r="A1345" t="s">
        <v>94</v>
      </c>
      <c r="B1345" t="s">
        <v>63</v>
      </c>
      <c r="C1345" t="s">
        <v>479</v>
      </c>
      <c r="D1345">
        <v>0.188</v>
      </c>
    </row>
    <row r="1346" spans="1:4" x14ac:dyDescent="0.25">
      <c r="A1346" t="s">
        <v>94</v>
      </c>
      <c r="B1346" t="s">
        <v>63</v>
      </c>
      <c r="C1346" t="s">
        <v>481</v>
      </c>
      <c r="D1346">
        <v>0.188</v>
      </c>
    </row>
    <row r="1347" spans="1:4" x14ac:dyDescent="0.25">
      <c r="A1347" t="s">
        <v>94</v>
      </c>
      <c r="B1347" t="s">
        <v>63</v>
      </c>
      <c r="C1347" t="s">
        <v>491</v>
      </c>
      <c r="D1347">
        <v>0.188</v>
      </c>
    </row>
    <row r="1348" spans="1:4" x14ac:dyDescent="0.25">
      <c r="A1348" t="s">
        <v>94</v>
      </c>
      <c r="B1348" t="s">
        <v>63</v>
      </c>
      <c r="C1348" t="s">
        <v>492</v>
      </c>
      <c r="D1348">
        <v>0.188</v>
      </c>
    </row>
    <row r="1349" spans="1:4" x14ac:dyDescent="0.25">
      <c r="A1349" t="s">
        <v>94</v>
      </c>
      <c r="B1349" t="s">
        <v>63</v>
      </c>
      <c r="C1349" t="s">
        <v>483</v>
      </c>
      <c r="D1349">
        <v>0.188</v>
      </c>
    </row>
    <row r="1350" spans="1:4" x14ac:dyDescent="0.25">
      <c r="A1350" t="s">
        <v>94</v>
      </c>
      <c r="B1350" t="s">
        <v>63</v>
      </c>
      <c r="C1350" t="s">
        <v>493</v>
      </c>
      <c r="D1350">
        <v>0.188</v>
      </c>
    </row>
    <row r="1351" spans="1:4" x14ac:dyDescent="0.25">
      <c r="A1351" t="s">
        <v>94</v>
      </c>
      <c r="B1351" t="s">
        <v>63</v>
      </c>
      <c r="C1351" t="s">
        <v>486</v>
      </c>
      <c r="D1351">
        <v>0.188</v>
      </c>
    </row>
    <row r="1352" spans="1:4" x14ac:dyDescent="0.25">
      <c r="A1352" t="s">
        <v>94</v>
      </c>
      <c r="B1352" t="s">
        <v>63</v>
      </c>
      <c r="C1352" t="s">
        <v>487</v>
      </c>
      <c r="D1352">
        <v>0.188</v>
      </c>
    </row>
    <row r="1353" spans="1:4" x14ac:dyDescent="0.25">
      <c r="A1353" t="s">
        <v>94</v>
      </c>
      <c r="B1353" t="s">
        <v>63</v>
      </c>
      <c r="C1353" t="s">
        <v>496</v>
      </c>
      <c r="D1353">
        <v>0.188</v>
      </c>
    </row>
    <row r="1354" spans="1:4" x14ac:dyDescent="0.25">
      <c r="A1354" t="s">
        <v>94</v>
      </c>
      <c r="B1354" t="s">
        <v>63</v>
      </c>
      <c r="C1354" t="s">
        <v>499</v>
      </c>
      <c r="D1354">
        <v>0.188</v>
      </c>
    </row>
    <row r="1355" spans="1:4" x14ac:dyDescent="0.25">
      <c r="A1355" t="s">
        <v>94</v>
      </c>
      <c r="B1355" t="s">
        <v>64</v>
      </c>
      <c r="C1355" t="s">
        <v>479</v>
      </c>
      <c r="D1355">
        <v>0.23899999999999999</v>
      </c>
    </row>
    <row r="1356" spans="1:4" x14ac:dyDescent="0.25">
      <c r="A1356" t="s">
        <v>94</v>
      </c>
      <c r="B1356" t="s">
        <v>64</v>
      </c>
      <c r="C1356" t="s">
        <v>481</v>
      </c>
      <c r="D1356">
        <v>0.23899999999999999</v>
      </c>
    </row>
    <row r="1357" spans="1:4" x14ac:dyDescent="0.25">
      <c r="A1357" t="s">
        <v>94</v>
      </c>
      <c r="B1357" t="s">
        <v>64</v>
      </c>
      <c r="C1357" t="s">
        <v>491</v>
      </c>
      <c r="D1357">
        <v>0.24299999999999999</v>
      </c>
    </row>
    <row r="1358" spans="1:4" x14ac:dyDescent="0.25">
      <c r="A1358" t="s">
        <v>94</v>
      </c>
      <c r="B1358" t="s">
        <v>64</v>
      </c>
      <c r="C1358" t="s">
        <v>492</v>
      </c>
      <c r="D1358">
        <v>0.24299999999999999</v>
      </c>
    </row>
    <row r="1359" spans="1:4" x14ac:dyDescent="0.25">
      <c r="A1359" t="s">
        <v>94</v>
      </c>
      <c r="B1359" t="s">
        <v>64</v>
      </c>
      <c r="C1359" t="s">
        <v>483</v>
      </c>
      <c r="D1359">
        <v>0.24</v>
      </c>
    </row>
    <row r="1360" spans="1:4" x14ac:dyDescent="0.25">
      <c r="A1360" t="s">
        <v>94</v>
      </c>
      <c r="B1360" t="s">
        <v>64</v>
      </c>
      <c r="C1360" t="s">
        <v>493</v>
      </c>
      <c r="D1360">
        <v>0.20799999999999999</v>
      </c>
    </row>
    <row r="1361" spans="1:4" x14ac:dyDescent="0.25">
      <c r="A1361" t="s">
        <v>94</v>
      </c>
      <c r="B1361" t="s">
        <v>64</v>
      </c>
      <c r="C1361" t="s">
        <v>486</v>
      </c>
      <c r="D1361">
        <v>0.20799999999999999</v>
      </c>
    </row>
    <row r="1362" spans="1:4" x14ac:dyDescent="0.25">
      <c r="A1362" t="s">
        <v>94</v>
      </c>
      <c r="B1362" t="s">
        <v>64</v>
      </c>
      <c r="C1362" t="s">
        <v>487</v>
      </c>
      <c r="D1362">
        <v>0.20799999999999999</v>
      </c>
    </row>
    <row r="1363" spans="1:4" x14ac:dyDescent="0.25">
      <c r="A1363" t="s">
        <v>94</v>
      </c>
      <c r="B1363" t="s">
        <v>64</v>
      </c>
      <c r="C1363" t="s">
        <v>496</v>
      </c>
      <c r="D1363">
        <v>0.20799999999999999</v>
      </c>
    </row>
    <row r="1364" spans="1:4" x14ac:dyDescent="0.25">
      <c r="A1364" t="s">
        <v>94</v>
      </c>
      <c r="B1364" t="s">
        <v>64</v>
      </c>
      <c r="C1364" t="s">
        <v>499</v>
      </c>
      <c r="D1364">
        <v>0.20799999999999999</v>
      </c>
    </row>
    <row r="1365" spans="1:4" x14ac:dyDescent="0.25">
      <c r="A1365" t="s">
        <v>94</v>
      </c>
      <c r="B1365" t="s">
        <v>24</v>
      </c>
      <c r="C1365" t="s">
        <v>479</v>
      </c>
      <c r="D1365">
        <v>8.6999999999999994E-2</v>
      </c>
    </row>
    <row r="1366" spans="1:4" x14ac:dyDescent="0.25">
      <c r="A1366" t="s">
        <v>94</v>
      </c>
      <c r="B1366" t="s">
        <v>24</v>
      </c>
      <c r="C1366" t="s">
        <v>481</v>
      </c>
      <c r="D1366">
        <v>8.6999999999999994E-2</v>
      </c>
    </row>
    <row r="1367" spans="1:4" x14ac:dyDescent="0.25">
      <c r="A1367" t="s">
        <v>94</v>
      </c>
      <c r="B1367" t="s">
        <v>24</v>
      </c>
      <c r="C1367" t="s">
        <v>491</v>
      </c>
      <c r="D1367">
        <v>8.6999999999999994E-2</v>
      </c>
    </row>
    <row r="1368" spans="1:4" x14ac:dyDescent="0.25">
      <c r="A1368" t="s">
        <v>94</v>
      </c>
      <c r="B1368" t="s">
        <v>24</v>
      </c>
      <c r="C1368" t="s">
        <v>492</v>
      </c>
      <c r="D1368">
        <v>8.6999999999999994E-2</v>
      </c>
    </row>
    <row r="1369" spans="1:4" x14ac:dyDescent="0.25">
      <c r="A1369" t="s">
        <v>94</v>
      </c>
      <c r="B1369" t="s">
        <v>24</v>
      </c>
      <c r="C1369" t="s">
        <v>483</v>
      </c>
      <c r="D1369">
        <v>8.6999999999999994E-2</v>
      </c>
    </row>
    <row r="1370" spans="1:4" x14ac:dyDescent="0.25">
      <c r="A1370" t="s">
        <v>94</v>
      </c>
      <c r="B1370" t="s">
        <v>24</v>
      </c>
      <c r="C1370" t="s">
        <v>493</v>
      </c>
      <c r="D1370">
        <v>8.5000000000000006E-2</v>
      </c>
    </row>
    <row r="1371" spans="1:4" x14ac:dyDescent="0.25">
      <c r="A1371" t="s">
        <v>94</v>
      </c>
      <c r="B1371" t="s">
        <v>24</v>
      </c>
      <c r="C1371" t="s">
        <v>486</v>
      </c>
      <c r="D1371">
        <v>8.5000000000000006E-2</v>
      </c>
    </row>
    <row r="1372" spans="1:4" x14ac:dyDescent="0.25">
      <c r="A1372" t="s">
        <v>94</v>
      </c>
      <c r="B1372" t="s">
        <v>24</v>
      </c>
      <c r="C1372" t="s">
        <v>487</v>
      </c>
      <c r="D1372">
        <v>8.5000000000000006E-2</v>
      </c>
    </row>
    <row r="1373" spans="1:4" x14ac:dyDescent="0.25">
      <c r="A1373" t="s">
        <v>94</v>
      </c>
      <c r="B1373" t="s">
        <v>24</v>
      </c>
      <c r="C1373" t="s">
        <v>496</v>
      </c>
      <c r="D1373">
        <v>8.6999999999999994E-2</v>
      </c>
    </row>
    <row r="1374" spans="1:4" x14ac:dyDescent="0.25">
      <c r="A1374" t="s">
        <v>94</v>
      </c>
      <c r="B1374" t="s">
        <v>24</v>
      </c>
      <c r="C1374" t="s">
        <v>499</v>
      </c>
      <c r="D1374">
        <v>8.5000000000000006E-2</v>
      </c>
    </row>
    <row r="1375" spans="1:4" x14ac:dyDescent="0.25">
      <c r="A1375" t="s">
        <v>94</v>
      </c>
      <c r="B1375" t="s">
        <v>5</v>
      </c>
      <c r="C1375" t="s">
        <v>479</v>
      </c>
      <c r="D1375">
        <v>0.72499999999999998</v>
      </c>
    </row>
    <row r="1376" spans="1:4" x14ac:dyDescent="0.25">
      <c r="A1376" t="s">
        <v>94</v>
      </c>
      <c r="B1376" t="s">
        <v>5</v>
      </c>
      <c r="C1376" t="s">
        <v>481</v>
      </c>
      <c r="D1376">
        <v>0.72499999999999998</v>
      </c>
    </row>
    <row r="1377" spans="1:4" x14ac:dyDescent="0.25">
      <c r="A1377" t="s">
        <v>94</v>
      </c>
      <c r="B1377" t="s">
        <v>5</v>
      </c>
      <c r="C1377" t="s">
        <v>491</v>
      </c>
      <c r="D1377">
        <v>0.72399999999999998</v>
      </c>
    </row>
    <row r="1378" spans="1:4" x14ac:dyDescent="0.25">
      <c r="A1378" t="s">
        <v>94</v>
      </c>
      <c r="B1378" t="s">
        <v>5</v>
      </c>
      <c r="C1378" t="s">
        <v>492</v>
      </c>
      <c r="D1378">
        <v>0.72399999999999998</v>
      </c>
    </row>
    <row r="1379" spans="1:4" x14ac:dyDescent="0.25">
      <c r="A1379" t="s">
        <v>94</v>
      </c>
      <c r="B1379" t="s">
        <v>5</v>
      </c>
      <c r="C1379" t="s">
        <v>483</v>
      </c>
      <c r="D1379">
        <v>0.63900000000000001</v>
      </c>
    </row>
    <row r="1380" spans="1:4" x14ac:dyDescent="0.25">
      <c r="A1380" t="s">
        <v>94</v>
      </c>
      <c r="B1380" t="s">
        <v>5</v>
      </c>
      <c r="C1380" t="s">
        <v>493</v>
      </c>
      <c r="D1380">
        <v>0.63100000000000001</v>
      </c>
    </row>
    <row r="1381" spans="1:4" x14ac:dyDescent="0.25">
      <c r="A1381" t="s">
        <v>94</v>
      </c>
      <c r="B1381" t="s">
        <v>5</v>
      </c>
      <c r="C1381" t="s">
        <v>486</v>
      </c>
      <c r="D1381">
        <v>0.63100000000000001</v>
      </c>
    </row>
    <row r="1382" spans="1:4" x14ac:dyDescent="0.25">
      <c r="A1382" t="s">
        <v>94</v>
      </c>
      <c r="B1382" t="s">
        <v>5</v>
      </c>
      <c r="C1382" t="s">
        <v>487</v>
      </c>
      <c r="D1382">
        <v>0.63100000000000001</v>
      </c>
    </row>
    <row r="1383" spans="1:4" x14ac:dyDescent="0.25">
      <c r="A1383" t="s">
        <v>94</v>
      </c>
      <c r="B1383" t="s">
        <v>5</v>
      </c>
      <c r="C1383" t="s">
        <v>496</v>
      </c>
      <c r="D1383">
        <v>0.63100000000000001</v>
      </c>
    </row>
    <row r="1384" spans="1:4" x14ac:dyDescent="0.25">
      <c r="A1384" t="s">
        <v>94</v>
      </c>
      <c r="B1384" t="s">
        <v>5</v>
      </c>
      <c r="C1384" t="s">
        <v>499</v>
      </c>
      <c r="D1384">
        <v>0.63100000000000001</v>
      </c>
    </row>
    <row r="1385" spans="1:4" x14ac:dyDescent="0.25">
      <c r="A1385" t="s">
        <v>94</v>
      </c>
      <c r="B1385" t="s">
        <v>22</v>
      </c>
      <c r="C1385" t="s">
        <v>479</v>
      </c>
      <c r="D1385" s="2">
        <v>2E-3</v>
      </c>
    </row>
    <row r="1386" spans="1:4" x14ac:dyDescent="0.25">
      <c r="A1386" t="s">
        <v>94</v>
      </c>
      <c r="B1386" t="s">
        <v>22</v>
      </c>
      <c r="C1386" t="s">
        <v>481</v>
      </c>
      <c r="D1386">
        <v>2E-3</v>
      </c>
    </row>
    <row r="1387" spans="1:4" x14ac:dyDescent="0.25">
      <c r="A1387" t="s">
        <v>94</v>
      </c>
      <c r="B1387" t="s">
        <v>22</v>
      </c>
      <c r="C1387" t="s">
        <v>491</v>
      </c>
      <c r="D1387">
        <v>2E-3</v>
      </c>
    </row>
    <row r="1388" spans="1:4" x14ac:dyDescent="0.25">
      <c r="A1388" t="s">
        <v>94</v>
      </c>
      <c r="B1388" t="s">
        <v>22</v>
      </c>
      <c r="C1388" t="s">
        <v>492</v>
      </c>
      <c r="D1388">
        <v>2E-3</v>
      </c>
    </row>
    <row r="1389" spans="1:4" x14ac:dyDescent="0.25">
      <c r="A1389" t="s">
        <v>94</v>
      </c>
      <c r="B1389" t="s">
        <v>22</v>
      </c>
      <c r="C1389" t="s">
        <v>483</v>
      </c>
      <c r="D1389">
        <v>2E-3</v>
      </c>
    </row>
    <row r="1390" spans="1:4" x14ac:dyDescent="0.25">
      <c r="A1390" t="s">
        <v>94</v>
      </c>
      <c r="B1390" t="s">
        <v>22</v>
      </c>
      <c r="C1390" t="s">
        <v>493</v>
      </c>
      <c r="D1390">
        <v>2E-3</v>
      </c>
    </row>
    <row r="1391" spans="1:4" x14ac:dyDescent="0.25">
      <c r="A1391" t="s">
        <v>94</v>
      </c>
      <c r="B1391" t="s">
        <v>22</v>
      </c>
      <c r="C1391" t="s">
        <v>486</v>
      </c>
      <c r="D1391">
        <v>2E-3</v>
      </c>
    </row>
    <row r="1392" spans="1:4" x14ac:dyDescent="0.25">
      <c r="A1392" t="s">
        <v>94</v>
      </c>
      <c r="B1392" t="s">
        <v>22</v>
      </c>
      <c r="C1392" t="s">
        <v>487</v>
      </c>
      <c r="D1392">
        <v>2E-3</v>
      </c>
    </row>
    <row r="1393" spans="1:4" x14ac:dyDescent="0.25">
      <c r="A1393" t="s">
        <v>94</v>
      </c>
      <c r="B1393" t="s">
        <v>22</v>
      </c>
      <c r="C1393" t="s">
        <v>496</v>
      </c>
      <c r="D1393">
        <v>2E-3</v>
      </c>
    </row>
    <row r="1394" spans="1:4" x14ac:dyDescent="0.25">
      <c r="A1394" t="s">
        <v>94</v>
      </c>
      <c r="B1394" t="s">
        <v>22</v>
      </c>
      <c r="C1394" t="s">
        <v>499</v>
      </c>
      <c r="D1394">
        <v>2E-3</v>
      </c>
    </row>
    <row r="1395" spans="1:4" x14ac:dyDescent="0.25">
      <c r="A1395" t="s">
        <v>94</v>
      </c>
      <c r="B1395" t="s">
        <v>67</v>
      </c>
      <c r="C1395" t="s">
        <v>479</v>
      </c>
      <c r="D1395">
        <v>7.5999999999999998E-2</v>
      </c>
    </row>
    <row r="1396" spans="1:4" x14ac:dyDescent="0.25">
      <c r="A1396" t="s">
        <v>94</v>
      </c>
      <c r="B1396" t="s">
        <v>67</v>
      </c>
      <c r="C1396" t="s">
        <v>481</v>
      </c>
      <c r="D1396">
        <v>7.5999999999999998E-2</v>
      </c>
    </row>
    <row r="1397" spans="1:4" x14ac:dyDescent="0.25">
      <c r="A1397" t="s">
        <v>94</v>
      </c>
      <c r="B1397" t="s">
        <v>67</v>
      </c>
      <c r="C1397" t="s">
        <v>491</v>
      </c>
      <c r="D1397">
        <v>7.5999999999999998E-2</v>
      </c>
    </row>
    <row r="1398" spans="1:4" x14ac:dyDescent="0.25">
      <c r="A1398" t="s">
        <v>94</v>
      </c>
      <c r="B1398" t="s">
        <v>67</v>
      </c>
      <c r="C1398" t="s">
        <v>492</v>
      </c>
      <c r="D1398">
        <v>7.5999999999999998E-2</v>
      </c>
    </row>
    <row r="1399" spans="1:4" x14ac:dyDescent="0.25">
      <c r="A1399" t="s">
        <v>94</v>
      </c>
      <c r="B1399" t="s">
        <v>67</v>
      </c>
      <c r="C1399" t="s">
        <v>483</v>
      </c>
      <c r="D1399">
        <v>7.5999999999999998E-2</v>
      </c>
    </row>
    <row r="1400" spans="1:4" x14ac:dyDescent="0.25">
      <c r="A1400" t="s">
        <v>94</v>
      </c>
      <c r="B1400" t="s">
        <v>67</v>
      </c>
      <c r="C1400" t="s">
        <v>493</v>
      </c>
      <c r="D1400">
        <v>7.5999999999999998E-2</v>
      </c>
    </row>
    <row r="1401" spans="1:4" x14ac:dyDescent="0.25">
      <c r="A1401" t="s">
        <v>94</v>
      </c>
      <c r="B1401" t="s">
        <v>67</v>
      </c>
      <c r="C1401" t="s">
        <v>486</v>
      </c>
      <c r="D1401">
        <v>7.5999999999999998E-2</v>
      </c>
    </row>
    <row r="1402" spans="1:4" x14ac:dyDescent="0.25">
      <c r="A1402" t="s">
        <v>94</v>
      </c>
      <c r="B1402" t="s">
        <v>67</v>
      </c>
      <c r="C1402" t="s">
        <v>487</v>
      </c>
      <c r="D1402">
        <v>7.5999999999999998E-2</v>
      </c>
    </row>
    <row r="1403" spans="1:4" x14ac:dyDescent="0.25">
      <c r="A1403" t="s">
        <v>94</v>
      </c>
      <c r="B1403" t="s">
        <v>67</v>
      </c>
      <c r="C1403" t="s">
        <v>496</v>
      </c>
      <c r="D1403">
        <v>7.5999999999999998E-2</v>
      </c>
    </row>
    <row r="1404" spans="1:4" x14ac:dyDescent="0.25">
      <c r="A1404" t="s">
        <v>94</v>
      </c>
      <c r="B1404" t="s">
        <v>67</v>
      </c>
      <c r="C1404" t="s">
        <v>499</v>
      </c>
      <c r="D1404">
        <v>7.5999999999999998E-2</v>
      </c>
    </row>
    <row r="1405" spans="1:4" x14ac:dyDescent="0.25">
      <c r="A1405" t="s">
        <v>97</v>
      </c>
      <c r="B1405" t="s">
        <v>81</v>
      </c>
      <c r="C1405" t="s">
        <v>479</v>
      </c>
      <c r="D1405">
        <v>-1</v>
      </c>
    </row>
    <row r="1406" spans="1:4" x14ac:dyDescent="0.25">
      <c r="A1406" t="s">
        <v>97</v>
      </c>
      <c r="B1406" t="s">
        <v>81</v>
      </c>
      <c r="C1406" t="s">
        <v>481</v>
      </c>
      <c r="D1406">
        <v>-1</v>
      </c>
    </row>
    <row r="1407" spans="1:4" x14ac:dyDescent="0.25">
      <c r="A1407" t="s">
        <v>97</v>
      </c>
      <c r="B1407" t="s">
        <v>81</v>
      </c>
      <c r="C1407" t="s">
        <v>491</v>
      </c>
      <c r="D1407">
        <v>-1</v>
      </c>
    </row>
    <row r="1408" spans="1:4" x14ac:dyDescent="0.25">
      <c r="A1408" t="s">
        <v>97</v>
      </c>
      <c r="B1408" t="s">
        <v>81</v>
      </c>
      <c r="C1408" t="s">
        <v>492</v>
      </c>
      <c r="D1408">
        <v>-1</v>
      </c>
    </row>
    <row r="1409" spans="1:4" x14ac:dyDescent="0.25">
      <c r="A1409" t="s">
        <v>97</v>
      </c>
      <c r="B1409" t="s">
        <v>81</v>
      </c>
      <c r="C1409" t="s">
        <v>483</v>
      </c>
      <c r="D1409">
        <v>-1</v>
      </c>
    </row>
    <row r="1410" spans="1:4" x14ac:dyDescent="0.25">
      <c r="A1410" t="s">
        <v>97</v>
      </c>
      <c r="B1410" t="s">
        <v>81</v>
      </c>
      <c r="C1410" t="s">
        <v>493</v>
      </c>
      <c r="D1410">
        <v>-1</v>
      </c>
    </row>
    <row r="1411" spans="1:4" x14ac:dyDescent="0.25">
      <c r="A1411" t="s">
        <v>97</v>
      </c>
      <c r="B1411" t="s">
        <v>81</v>
      </c>
      <c r="C1411" t="s">
        <v>486</v>
      </c>
      <c r="D1411">
        <v>-1</v>
      </c>
    </row>
    <row r="1412" spans="1:4" x14ac:dyDescent="0.25">
      <c r="A1412" t="s">
        <v>97</v>
      </c>
      <c r="B1412" t="s">
        <v>81</v>
      </c>
      <c r="C1412" t="s">
        <v>487</v>
      </c>
      <c r="D1412">
        <v>-1</v>
      </c>
    </row>
    <row r="1413" spans="1:4" x14ac:dyDescent="0.25">
      <c r="A1413" t="s">
        <v>97</v>
      </c>
      <c r="B1413" t="s">
        <v>81</v>
      </c>
      <c r="C1413" t="s">
        <v>496</v>
      </c>
      <c r="D1413">
        <v>-1</v>
      </c>
    </row>
    <row r="1414" spans="1:4" x14ac:dyDescent="0.25">
      <c r="A1414" t="s">
        <v>97</v>
      </c>
      <c r="B1414" t="s">
        <v>81</v>
      </c>
      <c r="C1414" t="s">
        <v>499</v>
      </c>
      <c r="D1414">
        <v>-1</v>
      </c>
    </row>
    <row r="1415" spans="1:4" x14ac:dyDescent="0.25">
      <c r="A1415" t="s">
        <v>97</v>
      </c>
      <c r="B1415" t="s">
        <v>80</v>
      </c>
      <c r="C1415" t="s">
        <v>479</v>
      </c>
      <c r="D1415">
        <v>1</v>
      </c>
    </row>
    <row r="1416" spans="1:4" x14ac:dyDescent="0.25">
      <c r="A1416" t="s">
        <v>97</v>
      </c>
      <c r="B1416" t="s">
        <v>80</v>
      </c>
      <c r="C1416" t="s">
        <v>481</v>
      </c>
      <c r="D1416">
        <v>1</v>
      </c>
    </row>
    <row r="1417" spans="1:4" x14ac:dyDescent="0.25">
      <c r="A1417" t="s">
        <v>97</v>
      </c>
      <c r="B1417" t="s">
        <v>80</v>
      </c>
      <c r="C1417" t="s">
        <v>491</v>
      </c>
      <c r="D1417">
        <v>1</v>
      </c>
    </row>
    <row r="1418" spans="1:4" x14ac:dyDescent="0.25">
      <c r="A1418" t="s">
        <v>97</v>
      </c>
      <c r="B1418" t="s">
        <v>80</v>
      </c>
      <c r="C1418" t="s">
        <v>492</v>
      </c>
      <c r="D1418">
        <v>1</v>
      </c>
    </row>
    <row r="1419" spans="1:4" x14ac:dyDescent="0.25">
      <c r="A1419" t="s">
        <v>97</v>
      </c>
      <c r="B1419" t="s">
        <v>80</v>
      </c>
      <c r="C1419" t="s">
        <v>483</v>
      </c>
      <c r="D1419">
        <v>1</v>
      </c>
    </row>
    <row r="1420" spans="1:4" x14ac:dyDescent="0.25">
      <c r="A1420" t="s">
        <v>97</v>
      </c>
      <c r="B1420" t="s">
        <v>80</v>
      </c>
      <c r="C1420" t="s">
        <v>493</v>
      </c>
      <c r="D1420">
        <v>1</v>
      </c>
    </row>
    <row r="1421" spans="1:4" x14ac:dyDescent="0.25">
      <c r="A1421" t="s">
        <v>97</v>
      </c>
      <c r="B1421" t="s">
        <v>80</v>
      </c>
      <c r="C1421" t="s">
        <v>486</v>
      </c>
      <c r="D1421">
        <v>1</v>
      </c>
    </row>
    <row r="1422" spans="1:4" x14ac:dyDescent="0.25">
      <c r="A1422" t="s">
        <v>97</v>
      </c>
      <c r="B1422" t="s">
        <v>80</v>
      </c>
      <c r="C1422" t="s">
        <v>487</v>
      </c>
      <c r="D1422">
        <v>1</v>
      </c>
    </row>
    <row r="1423" spans="1:4" x14ac:dyDescent="0.25">
      <c r="A1423" t="s">
        <v>97</v>
      </c>
      <c r="B1423" t="s">
        <v>80</v>
      </c>
      <c r="C1423" t="s">
        <v>496</v>
      </c>
      <c r="D1423">
        <v>1</v>
      </c>
    </row>
    <row r="1424" spans="1:4" x14ac:dyDescent="0.25">
      <c r="A1424" t="s">
        <v>97</v>
      </c>
      <c r="B1424" t="s">
        <v>80</v>
      </c>
      <c r="C1424" t="s">
        <v>499</v>
      </c>
      <c r="D1424">
        <v>1</v>
      </c>
    </row>
    <row r="1425" spans="1:4" x14ac:dyDescent="0.25">
      <c r="A1425" t="s">
        <v>97</v>
      </c>
      <c r="B1425" t="s">
        <v>27</v>
      </c>
      <c r="C1425" t="s">
        <v>479</v>
      </c>
      <c r="D1425">
        <v>1.798</v>
      </c>
    </row>
    <row r="1426" spans="1:4" x14ac:dyDescent="0.25">
      <c r="A1426" t="s">
        <v>97</v>
      </c>
      <c r="B1426" t="s">
        <v>27</v>
      </c>
      <c r="C1426" t="s">
        <v>481</v>
      </c>
      <c r="D1426">
        <v>1.798</v>
      </c>
    </row>
    <row r="1427" spans="1:4" x14ac:dyDescent="0.25">
      <c r="A1427" t="s">
        <v>97</v>
      </c>
      <c r="B1427" t="s">
        <v>27</v>
      </c>
      <c r="C1427" t="s">
        <v>491</v>
      </c>
      <c r="D1427">
        <v>1.798</v>
      </c>
    </row>
    <row r="1428" spans="1:4" x14ac:dyDescent="0.25">
      <c r="A1428" t="s">
        <v>97</v>
      </c>
      <c r="B1428" t="s">
        <v>27</v>
      </c>
      <c r="C1428" t="s">
        <v>492</v>
      </c>
      <c r="D1428">
        <v>1.798</v>
      </c>
    </row>
    <row r="1429" spans="1:4" x14ac:dyDescent="0.25">
      <c r="A1429" t="s">
        <v>97</v>
      </c>
      <c r="B1429" t="s">
        <v>27</v>
      </c>
      <c r="C1429" t="s">
        <v>483</v>
      </c>
      <c r="D1429">
        <v>1.798</v>
      </c>
    </row>
    <row r="1430" spans="1:4" x14ac:dyDescent="0.25">
      <c r="A1430" t="s">
        <v>97</v>
      </c>
      <c r="B1430" t="s">
        <v>27</v>
      </c>
      <c r="C1430" t="s">
        <v>493</v>
      </c>
      <c r="D1430">
        <v>1.798</v>
      </c>
    </row>
    <row r="1431" spans="1:4" x14ac:dyDescent="0.25">
      <c r="A1431" t="s">
        <v>97</v>
      </c>
      <c r="B1431" t="s">
        <v>27</v>
      </c>
      <c r="C1431" t="s">
        <v>486</v>
      </c>
      <c r="D1431">
        <v>1.798</v>
      </c>
    </row>
    <row r="1432" spans="1:4" x14ac:dyDescent="0.25">
      <c r="A1432" t="s">
        <v>97</v>
      </c>
      <c r="B1432" t="s">
        <v>27</v>
      </c>
      <c r="C1432" t="s">
        <v>487</v>
      </c>
      <c r="D1432">
        <v>1.798</v>
      </c>
    </row>
    <row r="1433" spans="1:4" x14ac:dyDescent="0.25">
      <c r="A1433" t="s">
        <v>97</v>
      </c>
      <c r="B1433" t="s">
        <v>27</v>
      </c>
      <c r="C1433" t="s">
        <v>496</v>
      </c>
      <c r="D1433">
        <v>1.798</v>
      </c>
    </row>
    <row r="1434" spans="1:4" x14ac:dyDescent="0.25">
      <c r="A1434" t="s">
        <v>97</v>
      </c>
      <c r="B1434" t="s">
        <v>27</v>
      </c>
      <c r="C1434" t="s">
        <v>499</v>
      </c>
      <c r="D1434">
        <v>1.798</v>
      </c>
    </row>
    <row r="1435" spans="1:4" x14ac:dyDescent="0.25">
      <c r="A1435" t="s">
        <v>97</v>
      </c>
      <c r="B1435" t="s">
        <v>29</v>
      </c>
      <c r="C1435" t="s">
        <v>479</v>
      </c>
      <c r="D1435">
        <v>1.365</v>
      </c>
    </row>
    <row r="1436" spans="1:4" x14ac:dyDescent="0.25">
      <c r="A1436" t="s">
        <v>97</v>
      </c>
      <c r="B1436" t="s">
        <v>29</v>
      </c>
      <c r="C1436" t="s">
        <v>481</v>
      </c>
      <c r="D1436">
        <v>1.365</v>
      </c>
    </row>
    <row r="1437" spans="1:4" x14ac:dyDescent="0.25">
      <c r="A1437" t="s">
        <v>97</v>
      </c>
      <c r="B1437" t="s">
        <v>29</v>
      </c>
      <c r="C1437" t="s">
        <v>491</v>
      </c>
      <c r="D1437">
        <v>1.365</v>
      </c>
    </row>
    <row r="1438" spans="1:4" x14ac:dyDescent="0.25">
      <c r="A1438" t="s">
        <v>97</v>
      </c>
      <c r="B1438" t="s">
        <v>29</v>
      </c>
      <c r="C1438" t="s">
        <v>492</v>
      </c>
      <c r="D1438">
        <v>1.365</v>
      </c>
    </row>
    <row r="1439" spans="1:4" x14ac:dyDescent="0.25">
      <c r="A1439" t="s">
        <v>97</v>
      </c>
      <c r="B1439" t="s">
        <v>29</v>
      </c>
      <c r="C1439" t="s">
        <v>483</v>
      </c>
      <c r="D1439">
        <v>1.365</v>
      </c>
    </row>
    <row r="1440" spans="1:4" x14ac:dyDescent="0.25">
      <c r="A1440" t="s">
        <v>97</v>
      </c>
      <c r="B1440" t="s">
        <v>29</v>
      </c>
      <c r="C1440" t="s">
        <v>493</v>
      </c>
      <c r="D1440">
        <v>1.365</v>
      </c>
    </row>
    <row r="1441" spans="1:4" x14ac:dyDescent="0.25">
      <c r="A1441" t="s">
        <v>97</v>
      </c>
      <c r="B1441" t="s">
        <v>29</v>
      </c>
      <c r="C1441" t="s">
        <v>486</v>
      </c>
      <c r="D1441">
        <v>1.365</v>
      </c>
    </row>
    <row r="1442" spans="1:4" x14ac:dyDescent="0.25">
      <c r="A1442" t="s">
        <v>97</v>
      </c>
      <c r="B1442" t="s">
        <v>29</v>
      </c>
      <c r="C1442" t="s">
        <v>487</v>
      </c>
      <c r="D1442">
        <v>1.365</v>
      </c>
    </row>
    <row r="1443" spans="1:4" x14ac:dyDescent="0.25">
      <c r="A1443" t="s">
        <v>97</v>
      </c>
      <c r="B1443" t="s">
        <v>29</v>
      </c>
      <c r="C1443" t="s">
        <v>496</v>
      </c>
      <c r="D1443">
        <v>1.365</v>
      </c>
    </row>
    <row r="1444" spans="1:4" x14ac:dyDescent="0.25">
      <c r="A1444" t="s">
        <v>97</v>
      </c>
      <c r="B1444" t="s">
        <v>29</v>
      </c>
      <c r="C1444" t="s">
        <v>499</v>
      </c>
      <c r="D1444">
        <v>1.365</v>
      </c>
    </row>
    <row r="1445" spans="1:4" x14ac:dyDescent="0.25">
      <c r="A1445" t="s">
        <v>97</v>
      </c>
      <c r="B1445" t="s">
        <v>63</v>
      </c>
      <c r="C1445" t="s">
        <v>479</v>
      </c>
      <c r="D1445">
        <v>1.0609999999999999</v>
      </c>
    </row>
    <row r="1446" spans="1:4" x14ac:dyDescent="0.25">
      <c r="A1446" t="s">
        <v>97</v>
      </c>
      <c r="B1446" t="s">
        <v>63</v>
      </c>
      <c r="C1446" t="s">
        <v>481</v>
      </c>
      <c r="D1446">
        <v>1.0609999999999999</v>
      </c>
    </row>
    <row r="1447" spans="1:4" x14ac:dyDescent="0.25">
      <c r="A1447" t="s">
        <v>97</v>
      </c>
      <c r="B1447" t="s">
        <v>63</v>
      </c>
      <c r="C1447" t="s">
        <v>491</v>
      </c>
      <c r="D1447">
        <v>1.0609999999999999</v>
      </c>
    </row>
    <row r="1448" spans="1:4" x14ac:dyDescent="0.25">
      <c r="A1448" t="s">
        <v>97</v>
      </c>
      <c r="B1448" t="s">
        <v>63</v>
      </c>
      <c r="C1448" t="s">
        <v>492</v>
      </c>
      <c r="D1448">
        <v>1.0609999999999999</v>
      </c>
    </row>
    <row r="1449" spans="1:4" x14ac:dyDescent="0.25">
      <c r="A1449" t="s">
        <v>97</v>
      </c>
      <c r="B1449" t="s">
        <v>63</v>
      </c>
      <c r="C1449" t="s">
        <v>483</v>
      </c>
      <c r="D1449">
        <v>1.0609999999999999</v>
      </c>
    </row>
    <row r="1450" spans="1:4" x14ac:dyDescent="0.25">
      <c r="A1450" t="s">
        <v>97</v>
      </c>
      <c r="B1450" t="s">
        <v>63</v>
      </c>
      <c r="C1450" t="s">
        <v>493</v>
      </c>
      <c r="D1450">
        <v>1.0609999999999999</v>
      </c>
    </row>
    <row r="1451" spans="1:4" x14ac:dyDescent="0.25">
      <c r="A1451" t="s">
        <v>97</v>
      </c>
      <c r="B1451" t="s">
        <v>63</v>
      </c>
      <c r="C1451" t="s">
        <v>486</v>
      </c>
      <c r="D1451">
        <v>1.0609999999999999</v>
      </c>
    </row>
    <row r="1452" spans="1:4" x14ac:dyDescent="0.25">
      <c r="A1452" t="s">
        <v>97</v>
      </c>
      <c r="B1452" t="s">
        <v>63</v>
      </c>
      <c r="C1452" t="s">
        <v>487</v>
      </c>
      <c r="D1452">
        <v>1.0609999999999999</v>
      </c>
    </row>
    <row r="1453" spans="1:4" x14ac:dyDescent="0.25">
      <c r="A1453" t="s">
        <v>97</v>
      </c>
      <c r="B1453" t="s">
        <v>63</v>
      </c>
      <c r="C1453" t="s">
        <v>496</v>
      </c>
      <c r="D1453">
        <v>1.0609999999999999</v>
      </c>
    </row>
    <row r="1454" spans="1:4" x14ac:dyDescent="0.25">
      <c r="A1454" t="s">
        <v>97</v>
      </c>
      <c r="B1454" t="s">
        <v>63</v>
      </c>
      <c r="C1454" t="s">
        <v>499</v>
      </c>
      <c r="D1454">
        <v>1.0609999999999999</v>
      </c>
    </row>
    <row r="1455" spans="1:4" x14ac:dyDescent="0.25">
      <c r="A1455" t="s">
        <v>97</v>
      </c>
      <c r="B1455" t="s">
        <v>78</v>
      </c>
      <c r="C1455" t="s">
        <v>479</v>
      </c>
      <c r="D1455">
        <v>7.1999999999999995E-2</v>
      </c>
    </row>
    <row r="1456" spans="1:4" x14ac:dyDescent="0.25">
      <c r="A1456" t="s">
        <v>97</v>
      </c>
      <c r="B1456" t="s">
        <v>78</v>
      </c>
      <c r="C1456" t="s">
        <v>481</v>
      </c>
      <c r="D1456">
        <v>7.1999999999999995E-2</v>
      </c>
    </row>
    <row r="1457" spans="1:4" x14ac:dyDescent="0.25">
      <c r="A1457" t="s">
        <v>97</v>
      </c>
      <c r="B1457" t="s">
        <v>78</v>
      </c>
      <c r="C1457" t="s">
        <v>491</v>
      </c>
      <c r="D1457">
        <v>7.1999999999999995E-2</v>
      </c>
    </row>
    <row r="1458" spans="1:4" x14ac:dyDescent="0.25">
      <c r="A1458" t="s">
        <v>97</v>
      </c>
      <c r="B1458" t="s">
        <v>78</v>
      </c>
      <c r="C1458" t="s">
        <v>492</v>
      </c>
      <c r="D1458">
        <v>7.1999999999999995E-2</v>
      </c>
    </row>
    <row r="1459" spans="1:4" x14ac:dyDescent="0.25">
      <c r="A1459" t="s">
        <v>97</v>
      </c>
      <c r="B1459" t="s">
        <v>78</v>
      </c>
      <c r="C1459" t="s">
        <v>483</v>
      </c>
      <c r="D1459">
        <v>7.1999999999999995E-2</v>
      </c>
    </row>
    <row r="1460" spans="1:4" x14ac:dyDescent="0.25">
      <c r="A1460" t="s">
        <v>97</v>
      </c>
      <c r="B1460" t="s">
        <v>78</v>
      </c>
      <c r="C1460" t="s">
        <v>493</v>
      </c>
      <c r="D1460">
        <v>7.1999999999999995E-2</v>
      </c>
    </row>
    <row r="1461" spans="1:4" x14ac:dyDescent="0.25">
      <c r="A1461" t="s">
        <v>97</v>
      </c>
      <c r="B1461" t="s">
        <v>78</v>
      </c>
      <c r="C1461" t="s">
        <v>486</v>
      </c>
      <c r="D1461">
        <v>7.1999999999999995E-2</v>
      </c>
    </row>
    <row r="1462" spans="1:4" x14ac:dyDescent="0.25">
      <c r="A1462" t="s">
        <v>97</v>
      </c>
      <c r="B1462" t="s">
        <v>78</v>
      </c>
      <c r="C1462" t="s">
        <v>487</v>
      </c>
      <c r="D1462">
        <v>7.1999999999999995E-2</v>
      </c>
    </row>
    <row r="1463" spans="1:4" x14ac:dyDescent="0.25">
      <c r="A1463" t="s">
        <v>97</v>
      </c>
      <c r="B1463" t="s">
        <v>78</v>
      </c>
      <c r="C1463" t="s">
        <v>496</v>
      </c>
      <c r="D1463">
        <v>7.1999999999999995E-2</v>
      </c>
    </row>
    <row r="1464" spans="1:4" x14ac:dyDescent="0.25">
      <c r="A1464" t="s">
        <v>97</v>
      </c>
      <c r="B1464" t="s">
        <v>78</v>
      </c>
      <c r="C1464" t="s">
        <v>499</v>
      </c>
      <c r="D1464">
        <v>7.1999999999999995E-2</v>
      </c>
    </row>
    <row r="1465" spans="1:4" x14ac:dyDescent="0.25">
      <c r="A1465" t="s">
        <v>97</v>
      </c>
      <c r="B1465" t="s">
        <v>75</v>
      </c>
      <c r="C1465" t="s">
        <v>479</v>
      </c>
      <c r="D1465">
        <v>5.5E-2</v>
      </c>
    </row>
    <row r="1466" spans="1:4" x14ac:dyDescent="0.25">
      <c r="A1466" t="s">
        <v>97</v>
      </c>
      <c r="B1466" t="s">
        <v>75</v>
      </c>
      <c r="C1466" t="s">
        <v>481</v>
      </c>
      <c r="D1466">
        <v>5.5E-2</v>
      </c>
    </row>
    <row r="1467" spans="1:4" x14ac:dyDescent="0.25">
      <c r="A1467" t="s">
        <v>97</v>
      </c>
      <c r="B1467" t="s">
        <v>75</v>
      </c>
      <c r="C1467" t="s">
        <v>491</v>
      </c>
      <c r="D1467">
        <v>5.5E-2</v>
      </c>
    </row>
    <row r="1468" spans="1:4" x14ac:dyDescent="0.25">
      <c r="A1468" t="s">
        <v>97</v>
      </c>
      <c r="B1468" t="s">
        <v>75</v>
      </c>
      <c r="C1468" t="s">
        <v>492</v>
      </c>
      <c r="D1468">
        <v>5.5E-2</v>
      </c>
    </row>
    <row r="1469" spans="1:4" x14ac:dyDescent="0.25">
      <c r="A1469" t="s">
        <v>97</v>
      </c>
      <c r="B1469" t="s">
        <v>75</v>
      </c>
      <c r="C1469" t="s">
        <v>483</v>
      </c>
      <c r="D1469">
        <v>5.5E-2</v>
      </c>
    </row>
    <row r="1470" spans="1:4" x14ac:dyDescent="0.25">
      <c r="A1470" t="s">
        <v>97</v>
      </c>
      <c r="B1470" t="s">
        <v>75</v>
      </c>
      <c r="C1470" t="s">
        <v>493</v>
      </c>
      <c r="D1470">
        <v>5.5E-2</v>
      </c>
    </row>
    <row r="1471" spans="1:4" x14ac:dyDescent="0.25">
      <c r="A1471" t="s">
        <v>97</v>
      </c>
      <c r="B1471" t="s">
        <v>75</v>
      </c>
      <c r="C1471" t="s">
        <v>486</v>
      </c>
      <c r="D1471">
        <v>5.5E-2</v>
      </c>
    </row>
    <row r="1472" spans="1:4" x14ac:dyDescent="0.25">
      <c r="A1472" t="s">
        <v>97</v>
      </c>
      <c r="B1472" t="s">
        <v>75</v>
      </c>
      <c r="C1472" t="s">
        <v>487</v>
      </c>
      <c r="D1472">
        <v>5.5E-2</v>
      </c>
    </row>
    <row r="1473" spans="1:4" x14ac:dyDescent="0.25">
      <c r="A1473" t="s">
        <v>97</v>
      </c>
      <c r="B1473" t="s">
        <v>75</v>
      </c>
      <c r="C1473" t="s">
        <v>496</v>
      </c>
      <c r="D1473">
        <v>5.5E-2</v>
      </c>
    </row>
    <row r="1474" spans="1:4" x14ac:dyDescent="0.25">
      <c r="A1474" t="s">
        <v>97</v>
      </c>
      <c r="B1474" t="s">
        <v>75</v>
      </c>
      <c r="C1474" t="s">
        <v>499</v>
      </c>
      <c r="D1474">
        <v>5.5E-2</v>
      </c>
    </row>
    <row r="1475" spans="1:4" x14ac:dyDescent="0.25">
      <c r="A1475" t="s">
        <v>97</v>
      </c>
      <c r="B1475" t="s">
        <v>79</v>
      </c>
      <c r="C1475" t="s">
        <v>479</v>
      </c>
      <c r="D1475">
        <v>3.9E-2</v>
      </c>
    </row>
    <row r="1476" spans="1:4" x14ac:dyDescent="0.25">
      <c r="A1476" t="s">
        <v>97</v>
      </c>
      <c r="B1476" t="s">
        <v>79</v>
      </c>
      <c r="C1476" t="s">
        <v>481</v>
      </c>
      <c r="D1476">
        <v>3.9E-2</v>
      </c>
    </row>
    <row r="1477" spans="1:4" x14ac:dyDescent="0.25">
      <c r="A1477" t="s">
        <v>97</v>
      </c>
      <c r="B1477" t="s">
        <v>79</v>
      </c>
      <c r="C1477" t="s">
        <v>491</v>
      </c>
      <c r="D1477">
        <v>3.9E-2</v>
      </c>
    </row>
    <row r="1478" spans="1:4" x14ac:dyDescent="0.25">
      <c r="A1478" t="s">
        <v>97</v>
      </c>
      <c r="B1478" t="s">
        <v>79</v>
      </c>
      <c r="C1478" t="s">
        <v>492</v>
      </c>
      <c r="D1478">
        <v>3.9E-2</v>
      </c>
    </row>
    <row r="1479" spans="1:4" x14ac:dyDescent="0.25">
      <c r="A1479" t="s">
        <v>97</v>
      </c>
      <c r="B1479" t="s">
        <v>79</v>
      </c>
      <c r="C1479" t="s">
        <v>483</v>
      </c>
      <c r="D1479">
        <v>3.9E-2</v>
      </c>
    </row>
    <row r="1480" spans="1:4" x14ac:dyDescent="0.25">
      <c r="A1480" t="s">
        <v>97</v>
      </c>
      <c r="B1480" t="s">
        <v>79</v>
      </c>
      <c r="C1480" t="s">
        <v>493</v>
      </c>
      <c r="D1480">
        <v>3.9E-2</v>
      </c>
    </row>
    <row r="1481" spans="1:4" x14ac:dyDescent="0.25">
      <c r="A1481" t="s">
        <v>97</v>
      </c>
      <c r="B1481" t="s">
        <v>79</v>
      </c>
      <c r="C1481" t="s">
        <v>486</v>
      </c>
      <c r="D1481">
        <v>3.9E-2</v>
      </c>
    </row>
    <row r="1482" spans="1:4" x14ac:dyDescent="0.25">
      <c r="A1482" t="s">
        <v>97</v>
      </c>
      <c r="B1482" t="s">
        <v>79</v>
      </c>
      <c r="C1482" t="s">
        <v>487</v>
      </c>
      <c r="D1482">
        <v>3.9E-2</v>
      </c>
    </row>
    <row r="1483" spans="1:4" x14ac:dyDescent="0.25">
      <c r="A1483" t="s">
        <v>97</v>
      </c>
      <c r="B1483" t="s">
        <v>79</v>
      </c>
      <c r="C1483" t="s">
        <v>496</v>
      </c>
      <c r="D1483">
        <v>3.9E-2</v>
      </c>
    </row>
    <row r="1484" spans="1:4" x14ac:dyDescent="0.25">
      <c r="A1484" t="s">
        <v>97</v>
      </c>
      <c r="B1484" t="s">
        <v>79</v>
      </c>
      <c r="C1484" t="s">
        <v>499</v>
      </c>
      <c r="D1484">
        <v>3.9E-2</v>
      </c>
    </row>
    <row r="1485" spans="1:4" x14ac:dyDescent="0.25">
      <c r="A1485" t="s">
        <v>97</v>
      </c>
      <c r="B1485" t="s">
        <v>64</v>
      </c>
      <c r="C1485" t="s">
        <v>479</v>
      </c>
      <c r="D1485">
        <v>0.106</v>
      </c>
    </row>
    <row r="1486" spans="1:4" x14ac:dyDescent="0.25">
      <c r="A1486" t="s">
        <v>97</v>
      </c>
      <c r="B1486" t="s">
        <v>64</v>
      </c>
      <c r="C1486" t="s">
        <v>481</v>
      </c>
      <c r="D1486">
        <v>0.106</v>
      </c>
    </row>
    <row r="1487" spans="1:4" x14ac:dyDescent="0.25">
      <c r="A1487" t="s">
        <v>97</v>
      </c>
      <c r="B1487" t="s">
        <v>64</v>
      </c>
      <c r="C1487" t="s">
        <v>491</v>
      </c>
      <c r="D1487">
        <v>0.106</v>
      </c>
    </row>
    <row r="1488" spans="1:4" x14ac:dyDescent="0.25">
      <c r="A1488" t="s">
        <v>97</v>
      </c>
      <c r="B1488" t="s">
        <v>64</v>
      </c>
      <c r="C1488" t="s">
        <v>492</v>
      </c>
      <c r="D1488">
        <v>0.106</v>
      </c>
    </row>
    <row r="1489" spans="1:4" x14ac:dyDescent="0.25">
      <c r="A1489" t="s">
        <v>97</v>
      </c>
      <c r="B1489" t="s">
        <v>64</v>
      </c>
      <c r="C1489" t="s">
        <v>483</v>
      </c>
      <c r="D1489">
        <v>0.106</v>
      </c>
    </row>
    <row r="1490" spans="1:4" x14ac:dyDescent="0.25">
      <c r="A1490" t="s">
        <v>97</v>
      </c>
      <c r="B1490" t="s">
        <v>64</v>
      </c>
      <c r="C1490" t="s">
        <v>493</v>
      </c>
      <c r="D1490">
        <v>0.106</v>
      </c>
    </row>
    <row r="1491" spans="1:4" x14ac:dyDescent="0.25">
      <c r="A1491" t="s">
        <v>97</v>
      </c>
      <c r="B1491" t="s">
        <v>64</v>
      </c>
      <c r="C1491" t="s">
        <v>486</v>
      </c>
      <c r="D1491">
        <v>0.106</v>
      </c>
    </row>
    <row r="1492" spans="1:4" x14ac:dyDescent="0.25">
      <c r="A1492" t="s">
        <v>97</v>
      </c>
      <c r="B1492" t="s">
        <v>64</v>
      </c>
      <c r="C1492" t="s">
        <v>487</v>
      </c>
      <c r="D1492">
        <v>0.106</v>
      </c>
    </row>
    <row r="1493" spans="1:4" x14ac:dyDescent="0.25">
      <c r="A1493" t="s">
        <v>97</v>
      </c>
      <c r="B1493" t="s">
        <v>64</v>
      </c>
      <c r="C1493" t="s">
        <v>496</v>
      </c>
      <c r="D1493">
        <v>0.106</v>
      </c>
    </row>
    <row r="1494" spans="1:4" x14ac:dyDescent="0.25">
      <c r="A1494" t="s">
        <v>97</v>
      </c>
      <c r="B1494" t="s">
        <v>64</v>
      </c>
      <c r="C1494" t="s">
        <v>499</v>
      </c>
      <c r="D1494">
        <v>0.106</v>
      </c>
    </row>
    <row r="1495" spans="1:4" x14ac:dyDescent="0.25">
      <c r="A1495" t="s">
        <v>97</v>
      </c>
      <c r="B1495" t="s">
        <v>24</v>
      </c>
      <c r="C1495" t="s">
        <v>479</v>
      </c>
      <c r="D1495">
        <v>1.0309999999999999</v>
      </c>
    </row>
    <row r="1496" spans="1:4" x14ac:dyDescent="0.25">
      <c r="A1496" t="s">
        <v>97</v>
      </c>
      <c r="B1496" t="s">
        <v>24</v>
      </c>
      <c r="C1496" t="s">
        <v>481</v>
      </c>
      <c r="D1496">
        <v>1.0349999999999999</v>
      </c>
    </row>
    <row r="1497" spans="1:4" x14ac:dyDescent="0.25">
      <c r="A1497" t="s">
        <v>97</v>
      </c>
      <c r="B1497" t="s">
        <v>24</v>
      </c>
      <c r="C1497" t="s">
        <v>491</v>
      </c>
      <c r="D1497">
        <v>1.0129999999999999</v>
      </c>
    </row>
    <row r="1498" spans="1:4" x14ac:dyDescent="0.25">
      <c r="A1498" t="s">
        <v>97</v>
      </c>
      <c r="B1498" t="s">
        <v>24</v>
      </c>
      <c r="C1498" t="s">
        <v>492</v>
      </c>
      <c r="D1498">
        <v>1.002</v>
      </c>
    </row>
    <row r="1499" spans="1:4" x14ac:dyDescent="0.25">
      <c r="A1499" t="s">
        <v>97</v>
      </c>
      <c r="B1499" t="s">
        <v>24</v>
      </c>
      <c r="C1499" t="s">
        <v>483</v>
      </c>
      <c r="D1499">
        <v>0.99</v>
      </c>
    </row>
    <row r="1500" spans="1:4" x14ac:dyDescent="0.25">
      <c r="A1500" t="s">
        <v>97</v>
      </c>
      <c r="B1500" t="s">
        <v>24</v>
      </c>
      <c r="C1500" t="s">
        <v>493</v>
      </c>
      <c r="D1500">
        <v>0.996</v>
      </c>
    </row>
    <row r="1501" spans="1:4" x14ac:dyDescent="0.25">
      <c r="A1501" t="s">
        <v>97</v>
      </c>
      <c r="B1501" t="s">
        <v>24</v>
      </c>
      <c r="C1501" t="s">
        <v>486</v>
      </c>
      <c r="D1501">
        <v>0.99399999999999999</v>
      </c>
    </row>
    <row r="1502" spans="1:4" x14ac:dyDescent="0.25">
      <c r="A1502" t="s">
        <v>97</v>
      </c>
      <c r="B1502" t="s">
        <v>24</v>
      </c>
      <c r="C1502" t="s">
        <v>487</v>
      </c>
      <c r="D1502">
        <v>1</v>
      </c>
    </row>
    <row r="1503" spans="1:4" x14ac:dyDescent="0.25">
      <c r="A1503" t="s">
        <v>97</v>
      </c>
      <c r="B1503" t="s">
        <v>24</v>
      </c>
      <c r="C1503" t="s">
        <v>496</v>
      </c>
      <c r="D1503">
        <v>0.996</v>
      </c>
    </row>
    <row r="1504" spans="1:4" x14ac:dyDescent="0.25">
      <c r="A1504" t="s">
        <v>97</v>
      </c>
      <c r="B1504" t="s">
        <v>24</v>
      </c>
      <c r="C1504" t="s">
        <v>499</v>
      </c>
      <c r="D1504">
        <v>0.995</v>
      </c>
    </row>
    <row r="1505" spans="1:4" x14ac:dyDescent="0.25">
      <c r="A1505" t="s">
        <v>97</v>
      </c>
      <c r="B1505" t="s">
        <v>5</v>
      </c>
      <c r="C1505" t="s">
        <v>479</v>
      </c>
      <c r="D1505">
        <v>10.138999999999999</v>
      </c>
    </row>
    <row r="1506" spans="1:4" x14ac:dyDescent="0.25">
      <c r="A1506" t="s">
        <v>97</v>
      </c>
      <c r="B1506" t="s">
        <v>5</v>
      </c>
      <c r="C1506" t="s">
        <v>481</v>
      </c>
      <c r="D1506">
        <v>9.8230000000000004</v>
      </c>
    </row>
    <row r="1507" spans="1:4" x14ac:dyDescent="0.25">
      <c r="A1507" t="s">
        <v>97</v>
      </c>
      <c r="B1507" t="s">
        <v>5</v>
      </c>
      <c r="C1507" t="s">
        <v>491</v>
      </c>
      <c r="D1507">
        <v>9.9329999999999998</v>
      </c>
    </row>
    <row r="1508" spans="1:4" x14ac:dyDescent="0.25">
      <c r="A1508" t="s">
        <v>97</v>
      </c>
      <c r="B1508" t="s">
        <v>5</v>
      </c>
      <c r="C1508" t="s">
        <v>492</v>
      </c>
      <c r="D1508">
        <v>9.0109999999999992</v>
      </c>
    </row>
    <row r="1509" spans="1:4" x14ac:dyDescent="0.25">
      <c r="A1509" t="s">
        <v>97</v>
      </c>
      <c r="B1509" t="s">
        <v>5</v>
      </c>
      <c r="C1509" t="s">
        <v>483</v>
      </c>
      <c r="D1509">
        <v>8.5530000000000008</v>
      </c>
    </row>
    <row r="1510" spans="1:4" x14ac:dyDescent="0.25">
      <c r="A1510" t="s">
        <v>97</v>
      </c>
      <c r="B1510" t="s">
        <v>5</v>
      </c>
      <c r="C1510" t="s">
        <v>493</v>
      </c>
      <c r="D1510">
        <v>7.5119999999999996</v>
      </c>
    </row>
    <row r="1511" spans="1:4" x14ac:dyDescent="0.25">
      <c r="A1511" t="s">
        <v>97</v>
      </c>
      <c r="B1511" t="s">
        <v>5</v>
      </c>
      <c r="C1511" t="s">
        <v>486</v>
      </c>
      <c r="D1511">
        <v>7.2220000000000004</v>
      </c>
    </row>
    <row r="1512" spans="1:4" x14ac:dyDescent="0.25">
      <c r="A1512" t="s">
        <v>97</v>
      </c>
      <c r="B1512" t="s">
        <v>5</v>
      </c>
      <c r="C1512" t="s">
        <v>487</v>
      </c>
      <c r="D1512">
        <v>7.4210000000000003</v>
      </c>
    </row>
    <row r="1513" spans="1:4" x14ac:dyDescent="0.25">
      <c r="A1513" t="s">
        <v>97</v>
      </c>
      <c r="B1513" t="s">
        <v>5</v>
      </c>
      <c r="C1513" t="s">
        <v>496</v>
      </c>
      <c r="D1513">
        <v>7.6020000000000003</v>
      </c>
    </row>
    <row r="1514" spans="1:4" x14ac:dyDescent="0.25">
      <c r="A1514" t="s">
        <v>97</v>
      </c>
      <c r="B1514" t="s">
        <v>5</v>
      </c>
      <c r="C1514" t="s">
        <v>499</v>
      </c>
      <c r="D1514">
        <v>6.7450000000000001</v>
      </c>
    </row>
    <row r="1515" spans="1:4" x14ac:dyDescent="0.25">
      <c r="A1515" t="s">
        <v>97</v>
      </c>
      <c r="B1515" t="s">
        <v>22</v>
      </c>
      <c r="C1515" t="s">
        <v>479</v>
      </c>
      <c r="D1515">
        <v>3.4000000000000002E-2</v>
      </c>
    </row>
    <row r="1516" spans="1:4" x14ac:dyDescent="0.25">
      <c r="A1516" t="s">
        <v>97</v>
      </c>
      <c r="B1516" t="s">
        <v>22</v>
      </c>
      <c r="C1516" t="s">
        <v>481</v>
      </c>
      <c r="D1516">
        <v>2.9000000000000001E-2</v>
      </c>
    </row>
    <row r="1517" spans="1:4" x14ac:dyDescent="0.25">
      <c r="A1517" t="s">
        <v>97</v>
      </c>
      <c r="B1517" t="s">
        <v>22</v>
      </c>
      <c r="C1517" t="s">
        <v>491</v>
      </c>
      <c r="D1517">
        <v>2.8000000000000001E-2</v>
      </c>
    </row>
    <row r="1518" spans="1:4" x14ac:dyDescent="0.25">
      <c r="A1518" t="s">
        <v>97</v>
      </c>
      <c r="B1518" t="s">
        <v>22</v>
      </c>
      <c r="C1518" t="s">
        <v>492</v>
      </c>
      <c r="D1518">
        <v>2.5000000000000001E-2</v>
      </c>
    </row>
    <row r="1519" spans="1:4" x14ac:dyDescent="0.25">
      <c r="A1519" t="s">
        <v>97</v>
      </c>
      <c r="B1519" t="s">
        <v>22</v>
      </c>
      <c r="C1519" t="s">
        <v>483</v>
      </c>
      <c r="D1519">
        <v>2.1999999999999999E-2</v>
      </c>
    </row>
    <row r="1520" spans="1:4" x14ac:dyDescent="0.25">
      <c r="A1520" t="s">
        <v>97</v>
      </c>
      <c r="B1520" t="s">
        <v>22</v>
      </c>
      <c r="C1520" t="s">
        <v>493</v>
      </c>
      <c r="D1520">
        <v>2.3E-2</v>
      </c>
    </row>
    <row r="1521" spans="1:4" x14ac:dyDescent="0.25">
      <c r="A1521" t="s">
        <v>97</v>
      </c>
      <c r="B1521" t="s">
        <v>22</v>
      </c>
      <c r="C1521" t="s">
        <v>486</v>
      </c>
      <c r="D1521">
        <v>2.1000000000000001E-2</v>
      </c>
    </row>
    <row r="1522" spans="1:4" x14ac:dyDescent="0.25">
      <c r="A1522" t="s">
        <v>97</v>
      </c>
      <c r="B1522" t="s">
        <v>22</v>
      </c>
      <c r="C1522" t="s">
        <v>487</v>
      </c>
      <c r="D1522">
        <v>2.1999999999999999E-2</v>
      </c>
    </row>
    <row r="1523" spans="1:4" x14ac:dyDescent="0.25">
      <c r="A1523" t="s">
        <v>97</v>
      </c>
      <c r="B1523" t="s">
        <v>22</v>
      </c>
      <c r="C1523" t="s">
        <v>496</v>
      </c>
      <c r="D1523">
        <v>0.02</v>
      </c>
    </row>
    <row r="1524" spans="1:4" x14ac:dyDescent="0.25">
      <c r="A1524" t="s">
        <v>97</v>
      </c>
      <c r="B1524" t="s">
        <v>22</v>
      </c>
      <c r="C1524" t="s">
        <v>499</v>
      </c>
      <c r="D1524">
        <v>0.02</v>
      </c>
    </row>
    <row r="1525" spans="1:4" x14ac:dyDescent="0.25">
      <c r="A1525" t="s">
        <v>97</v>
      </c>
      <c r="B1525" t="s">
        <v>67</v>
      </c>
      <c r="C1525" t="s">
        <v>479</v>
      </c>
      <c r="D1525">
        <v>0.40799999999999997</v>
      </c>
    </row>
    <row r="1526" spans="1:4" x14ac:dyDescent="0.25">
      <c r="A1526" t="s">
        <v>97</v>
      </c>
      <c r="B1526" t="s">
        <v>67</v>
      </c>
      <c r="C1526" t="s">
        <v>481</v>
      </c>
      <c r="D1526">
        <v>0.40799999999999997</v>
      </c>
    </row>
    <row r="1527" spans="1:4" x14ac:dyDescent="0.25">
      <c r="A1527" t="s">
        <v>97</v>
      </c>
      <c r="B1527" t="s">
        <v>67</v>
      </c>
      <c r="C1527" t="s">
        <v>491</v>
      </c>
      <c r="D1527">
        <v>0.40799999999999997</v>
      </c>
    </row>
    <row r="1528" spans="1:4" x14ac:dyDescent="0.25">
      <c r="A1528" t="s">
        <v>97</v>
      </c>
      <c r="B1528" t="s">
        <v>67</v>
      </c>
      <c r="C1528" t="s">
        <v>492</v>
      </c>
      <c r="D1528">
        <v>0.40799999999999997</v>
      </c>
    </row>
    <row r="1529" spans="1:4" x14ac:dyDescent="0.25">
      <c r="A1529" t="s">
        <v>97</v>
      </c>
      <c r="B1529" t="s">
        <v>67</v>
      </c>
      <c r="C1529" t="s">
        <v>483</v>
      </c>
      <c r="D1529">
        <v>0.40799999999999997</v>
      </c>
    </row>
    <row r="1530" spans="1:4" x14ac:dyDescent="0.25">
      <c r="A1530" t="s">
        <v>97</v>
      </c>
      <c r="B1530" t="s">
        <v>67</v>
      </c>
      <c r="C1530" t="s">
        <v>493</v>
      </c>
      <c r="D1530">
        <v>0.40799999999999997</v>
      </c>
    </row>
    <row r="1531" spans="1:4" x14ac:dyDescent="0.25">
      <c r="A1531" t="s">
        <v>97</v>
      </c>
      <c r="B1531" t="s">
        <v>67</v>
      </c>
      <c r="C1531" t="s">
        <v>486</v>
      </c>
      <c r="D1531">
        <v>0.40799999999999997</v>
      </c>
    </row>
    <row r="1532" spans="1:4" x14ac:dyDescent="0.25">
      <c r="A1532" t="s">
        <v>97</v>
      </c>
      <c r="B1532" t="s">
        <v>67</v>
      </c>
      <c r="C1532" t="s">
        <v>487</v>
      </c>
      <c r="D1532">
        <v>0.40799999999999997</v>
      </c>
    </row>
    <row r="1533" spans="1:4" x14ac:dyDescent="0.25">
      <c r="A1533" t="s">
        <v>97</v>
      </c>
      <c r="B1533" t="s">
        <v>67</v>
      </c>
      <c r="C1533" t="s">
        <v>496</v>
      </c>
      <c r="D1533">
        <v>0.40799999999999997</v>
      </c>
    </row>
    <row r="1534" spans="1:4" x14ac:dyDescent="0.25">
      <c r="A1534" t="s">
        <v>97</v>
      </c>
      <c r="B1534" t="s">
        <v>67</v>
      </c>
      <c r="C1534" t="s">
        <v>499</v>
      </c>
      <c r="D1534">
        <v>0.40799999999999997</v>
      </c>
    </row>
    <row r="1535" spans="1:4" x14ac:dyDescent="0.25">
      <c r="A1535" t="s">
        <v>352</v>
      </c>
      <c r="B1535" t="s">
        <v>315</v>
      </c>
      <c r="C1535" t="s">
        <v>479</v>
      </c>
      <c r="D1535">
        <v>-1</v>
      </c>
    </row>
    <row r="1536" spans="1:4" x14ac:dyDescent="0.25">
      <c r="A1536" t="s">
        <v>352</v>
      </c>
      <c r="B1536" t="s">
        <v>315</v>
      </c>
      <c r="C1536" t="s">
        <v>481</v>
      </c>
      <c r="D1536">
        <v>-1</v>
      </c>
    </row>
    <row r="1537" spans="1:4" x14ac:dyDescent="0.25">
      <c r="A1537" t="s">
        <v>352</v>
      </c>
      <c r="B1537" t="s">
        <v>315</v>
      </c>
      <c r="C1537" t="s">
        <v>491</v>
      </c>
      <c r="D1537">
        <v>-1</v>
      </c>
    </row>
    <row r="1538" spans="1:4" x14ac:dyDescent="0.25">
      <c r="A1538" t="s">
        <v>352</v>
      </c>
      <c r="B1538" t="s">
        <v>315</v>
      </c>
      <c r="C1538" t="s">
        <v>492</v>
      </c>
      <c r="D1538">
        <v>-1</v>
      </c>
    </row>
    <row r="1539" spans="1:4" x14ac:dyDescent="0.25">
      <c r="A1539" t="s">
        <v>352</v>
      </c>
      <c r="B1539" t="s">
        <v>315</v>
      </c>
      <c r="C1539" t="s">
        <v>483</v>
      </c>
      <c r="D1539">
        <v>-1</v>
      </c>
    </row>
    <row r="1540" spans="1:4" x14ac:dyDescent="0.25">
      <c r="A1540" t="s">
        <v>352</v>
      </c>
      <c r="B1540" t="s">
        <v>315</v>
      </c>
      <c r="C1540" t="s">
        <v>493</v>
      </c>
      <c r="D1540">
        <v>-1</v>
      </c>
    </row>
    <row r="1541" spans="1:4" x14ac:dyDescent="0.25">
      <c r="A1541" t="s">
        <v>352</v>
      </c>
      <c r="B1541" t="s">
        <v>315</v>
      </c>
      <c r="C1541" t="s">
        <v>486</v>
      </c>
      <c r="D1541">
        <v>-1</v>
      </c>
    </row>
    <row r="1542" spans="1:4" x14ac:dyDescent="0.25">
      <c r="A1542" t="s">
        <v>352</v>
      </c>
      <c r="B1542" t="s">
        <v>315</v>
      </c>
      <c r="C1542" t="s">
        <v>487</v>
      </c>
      <c r="D1542">
        <v>-1</v>
      </c>
    </row>
    <row r="1543" spans="1:4" x14ac:dyDescent="0.25">
      <c r="A1543" t="s">
        <v>352</v>
      </c>
      <c r="B1543" t="s">
        <v>315</v>
      </c>
      <c r="C1543" t="s">
        <v>496</v>
      </c>
      <c r="D1543">
        <v>-1</v>
      </c>
    </row>
    <row r="1544" spans="1:4" x14ac:dyDescent="0.25">
      <c r="A1544" t="s">
        <v>352</v>
      </c>
      <c r="B1544" t="s">
        <v>315</v>
      </c>
      <c r="C1544" t="s">
        <v>499</v>
      </c>
      <c r="D1544">
        <v>-1</v>
      </c>
    </row>
    <row r="1545" spans="1:4" x14ac:dyDescent="0.25">
      <c r="A1545" t="s">
        <v>352</v>
      </c>
      <c r="B1545" t="s">
        <v>27</v>
      </c>
      <c r="C1545" t="s">
        <v>479</v>
      </c>
      <c r="D1545">
        <v>1.8</v>
      </c>
    </row>
    <row r="1546" spans="1:4" x14ac:dyDescent="0.25">
      <c r="A1546" t="s">
        <v>352</v>
      </c>
      <c r="B1546" t="s">
        <v>27</v>
      </c>
      <c r="C1546" t="s">
        <v>481</v>
      </c>
      <c r="D1546">
        <v>1.8</v>
      </c>
    </row>
    <row r="1547" spans="1:4" x14ac:dyDescent="0.25">
      <c r="A1547" t="s">
        <v>352</v>
      </c>
      <c r="B1547" t="s">
        <v>27</v>
      </c>
      <c r="C1547" t="s">
        <v>491</v>
      </c>
      <c r="D1547">
        <v>1.8</v>
      </c>
    </row>
    <row r="1548" spans="1:4" x14ac:dyDescent="0.25">
      <c r="A1548" t="s">
        <v>352</v>
      </c>
      <c r="B1548" t="s">
        <v>27</v>
      </c>
      <c r="C1548" t="s">
        <v>492</v>
      </c>
      <c r="D1548">
        <v>1.8</v>
      </c>
    </row>
    <row r="1549" spans="1:4" x14ac:dyDescent="0.25">
      <c r="A1549" t="s">
        <v>352</v>
      </c>
      <c r="B1549" t="s">
        <v>27</v>
      </c>
      <c r="C1549" t="s">
        <v>483</v>
      </c>
      <c r="D1549">
        <v>1.8</v>
      </c>
    </row>
    <row r="1550" spans="1:4" x14ac:dyDescent="0.25">
      <c r="A1550" t="s">
        <v>352</v>
      </c>
      <c r="B1550" t="s">
        <v>27</v>
      </c>
      <c r="C1550" t="s">
        <v>493</v>
      </c>
      <c r="D1550">
        <v>1.8</v>
      </c>
    </row>
    <row r="1551" spans="1:4" x14ac:dyDescent="0.25">
      <c r="A1551" t="s">
        <v>352</v>
      </c>
      <c r="B1551" t="s">
        <v>27</v>
      </c>
      <c r="C1551" t="s">
        <v>486</v>
      </c>
      <c r="D1551">
        <v>1.8</v>
      </c>
    </row>
    <row r="1552" spans="1:4" x14ac:dyDescent="0.25">
      <c r="A1552" t="s">
        <v>352</v>
      </c>
      <c r="B1552" t="s">
        <v>27</v>
      </c>
      <c r="C1552" t="s">
        <v>487</v>
      </c>
      <c r="D1552">
        <v>1.8</v>
      </c>
    </row>
    <row r="1553" spans="1:4" x14ac:dyDescent="0.25">
      <c r="A1553" t="s">
        <v>352</v>
      </c>
      <c r="B1553" t="s">
        <v>27</v>
      </c>
      <c r="C1553" t="s">
        <v>496</v>
      </c>
      <c r="D1553">
        <v>1.8</v>
      </c>
    </row>
    <row r="1554" spans="1:4" x14ac:dyDescent="0.25">
      <c r="A1554" t="s">
        <v>352</v>
      </c>
      <c r="B1554" t="s">
        <v>27</v>
      </c>
      <c r="C1554" t="s">
        <v>499</v>
      </c>
      <c r="D1554">
        <v>1.8</v>
      </c>
    </row>
    <row r="1555" spans="1:4" x14ac:dyDescent="0.25">
      <c r="A1555" t="s">
        <v>352</v>
      </c>
      <c r="B1555" t="s">
        <v>29</v>
      </c>
      <c r="C1555" t="s">
        <v>479</v>
      </c>
      <c r="D1555">
        <v>0.39</v>
      </c>
    </row>
    <row r="1556" spans="1:4" x14ac:dyDescent="0.25">
      <c r="A1556" t="s">
        <v>352</v>
      </c>
      <c r="B1556" t="s">
        <v>29</v>
      </c>
      <c r="C1556" t="s">
        <v>481</v>
      </c>
      <c r="D1556">
        <v>0.39</v>
      </c>
    </row>
    <row r="1557" spans="1:4" x14ac:dyDescent="0.25">
      <c r="A1557" t="s">
        <v>352</v>
      </c>
      <c r="B1557" t="s">
        <v>29</v>
      </c>
      <c r="C1557" t="s">
        <v>491</v>
      </c>
      <c r="D1557">
        <v>0.39</v>
      </c>
    </row>
    <row r="1558" spans="1:4" x14ac:dyDescent="0.25">
      <c r="A1558" t="s">
        <v>352</v>
      </c>
      <c r="B1558" t="s">
        <v>29</v>
      </c>
      <c r="C1558" t="s">
        <v>492</v>
      </c>
      <c r="D1558">
        <v>0.39</v>
      </c>
    </row>
    <row r="1559" spans="1:4" x14ac:dyDescent="0.25">
      <c r="A1559" t="s">
        <v>352</v>
      </c>
      <c r="B1559" t="s">
        <v>29</v>
      </c>
      <c r="C1559" t="s">
        <v>483</v>
      </c>
      <c r="D1559">
        <v>0.39</v>
      </c>
    </row>
    <row r="1560" spans="1:4" x14ac:dyDescent="0.25">
      <c r="A1560" t="s">
        <v>352</v>
      </c>
      <c r="B1560" t="s">
        <v>29</v>
      </c>
      <c r="C1560" t="s">
        <v>493</v>
      </c>
      <c r="D1560">
        <v>0.39</v>
      </c>
    </row>
    <row r="1561" spans="1:4" x14ac:dyDescent="0.25">
      <c r="A1561" t="s">
        <v>352</v>
      </c>
      <c r="B1561" t="s">
        <v>29</v>
      </c>
      <c r="C1561" t="s">
        <v>486</v>
      </c>
      <c r="D1561">
        <v>0.39</v>
      </c>
    </row>
    <row r="1562" spans="1:4" x14ac:dyDescent="0.25">
      <c r="A1562" t="s">
        <v>352</v>
      </c>
      <c r="B1562" t="s">
        <v>29</v>
      </c>
      <c r="C1562" t="s">
        <v>487</v>
      </c>
      <c r="D1562">
        <v>0.39</v>
      </c>
    </row>
    <row r="1563" spans="1:4" x14ac:dyDescent="0.25">
      <c r="A1563" t="s">
        <v>352</v>
      </c>
      <c r="B1563" t="s">
        <v>29</v>
      </c>
      <c r="C1563" t="s">
        <v>496</v>
      </c>
      <c r="D1563">
        <v>0.39</v>
      </c>
    </row>
    <row r="1564" spans="1:4" x14ac:dyDescent="0.25">
      <c r="A1564" t="s">
        <v>352</v>
      </c>
      <c r="B1564" t="s">
        <v>29</v>
      </c>
      <c r="C1564" t="s">
        <v>499</v>
      </c>
      <c r="D1564">
        <v>0.39</v>
      </c>
    </row>
    <row r="1565" spans="1:4" x14ac:dyDescent="0.25">
      <c r="A1565" t="s">
        <v>352</v>
      </c>
      <c r="B1565" t="s">
        <v>63</v>
      </c>
      <c r="C1565" t="s">
        <v>479</v>
      </c>
      <c r="D1565">
        <v>1.095</v>
      </c>
    </row>
    <row r="1566" spans="1:4" x14ac:dyDescent="0.25">
      <c r="A1566" t="s">
        <v>352</v>
      </c>
      <c r="B1566" t="s">
        <v>63</v>
      </c>
      <c r="C1566" t="s">
        <v>481</v>
      </c>
      <c r="D1566">
        <v>1.095</v>
      </c>
    </row>
    <row r="1567" spans="1:4" x14ac:dyDescent="0.25">
      <c r="A1567" t="s">
        <v>352</v>
      </c>
      <c r="B1567" t="s">
        <v>63</v>
      </c>
      <c r="C1567" t="s">
        <v>491</v>
      </c>
      <c r="D1567">
        <v>1.095</v>
      </c>
    </row>
    <row r="1568" spans="1:4" x14ac:dyDescent="0.25">
      <c r="A1568" t="s">
        <v>352</v>
      </c>
      <c r="B1568" t="s">
        <v>63</v>
      </c>
      <c r="C1568" t="s">
        <v>492</v>
      </c>
      <c r="D1568">
        <v>1.095</v>
      </c>
    </row>
    <row r="1569" spans="1:4" x14ac:dyDescent="0.25">
      <c r="A1569" t="s">
        <v>352</v>
      </c>
      <c r="B1569" t="s">
        <v>63</v>
      </c>
      <c r="C1569" t="s">
        <v>483</v>
      </c>
      <c r="D1569">
        <v>1.095</v>
      </c>
    </row>
    <row r="1570" spans="1:4" x14ac:dyDescent="0.25">
      <c r="A1570" t="s">
        <v>352</v>
      </c>
      <c r="B1570" t="s">
        <v>63</v>
      </c>
      <c r="C1570" t="s">
        <v>493</v>
      </c>
      <c r="D1570">
        <v>1.095</v>
      </c>
    </row>
    <row r="1571" spans="1:4" x14ac:dyDescent="0.25">
      <c r="A1571" t="s">
        <v>352</v>
      </c>
      <c r="B1571" t="s">
        <v>63</v>
      </c>
      <c r="C1571" t="s">
        <v>486</v>
      </c>
      <c r="D1571">
        <v>1.095</v>
      </c>
    </row>
    <row r="1572" spans="1:4" x14ac:dyDescent="0.25">
      <c r="A1572" t="s">
        <v>352</v>
      </c>
      <c r="B1572" t="s">
        <v>63</v>
      </c>
      <c r="C1572" t="s">
        <v>487</v>
      </c>
      <c r="D1572">
        <v>1.095</v>
      </c>
    </row>
    <row r="1573" spans="1:4" x14ac:dyDescent="0.25">
      <c r="A1573" t="s">
        <v>352</v>
      </c>
      <c r="B1573" t="s">
        <v>63</v>
      </c>
      <c r="C1573" t="s">
        <v>496</v>
      </c>
      <c r="D1573">
        <v>1.095</v>
      </c>
    </row>
    <row r="1574" spans="1:4" x14ac:dyDescent="0.25">
      <c r="A1574" t="s">
        <v>352</v>
      </c>
      <c r="B1574" t="s">
        <v>63</v>
      </c>
      <c r="C1574" t="s">
        <v>499</v>
      </c>
      <c r="D1574">
        <v>1.095</v>
      </c>
    </row>
    <row r="1575" spans="1:4" x14ac:dyDescent="0.25">
      <c r="A1575" t="s">
        <v>352</v>
      </c>
      <c r="B1575" t="s">
        <v>509</v>
      </c>
      <c r="C1575" t="s">
        <v>479</v>
      </c>
      <c r="D1575">
        <v>1</v>
      </c>
    </row>
    <row r="1576" spans="1:4" x14ac:dyDescent="0.25">
      <c r="A1576" t="s">
        <v>352</v>
      </c>
      <c r="B1576" t="s">
        <v>509</v>
      </c>
      <c r="C1576" t="s">
        <v>481</v>
      </c>
      <c r="D1576">
        <v>1</v>
      </c>
    </row>
    <row r="1577" spans="1:4" x14ac:dyDescent="0.25">
      <c r="A1577" t="s">
        <v>352</v>
      </c>
      <c r="B1577" t="s">
        <v>509</v>
      </c>
      <c r="C1577" t="s">
        <v>491</v>
      </c>
      <c r="D1577">
        <v>1</v>
      </c>
    </row>
    <row r="1578" spans="1:4" x14ac:dyDescent="0.25">
      <c r="A1578" t="s">
        <v>352</v>
      </c>
      <c r="B1578" t="s">
        <v>509</v>
      </c>
      <c r="C1578" t="s">
        <v>492</v>
      </c>
      <c r="D1578">
        <v>1</v>
      </c>
    </row>
    <row r="1579" spans="1:4" x14ac:dyDescent="0.25">
      <c r="A1579" t="s">
        <v>119</v>
      </c>
      <c r="B1579" t="s">
        <v>92</v>
      </c>
      <c r="C1579" t="s">
        <v>479</v>
      </c>
      <c r="D1579">
        <v>25.1</v>
      </c>
    </row>
    <row r="1580" spans="1:4" x14ac:dyDescent="0.25">
      <c r="A1580" t="s">
        <v>119</v>
      </c>
      <c r="B1580" t="s">
        <v>92</v>
      </c>
      <c r="C1580" t="s">
        <v>481</v>
      </c>
      <c r="D1580">
        <v>23</v>
      </c>
    </row>
    <row r="1581" spans="1:4" x14ac:dyDescent="0.25">
      <c r="A1581" t="s">
        <v>119</v>
      </c>
      <c r="B1581" t="s">
        <v>92</v>
      </c>
      <c r="C1581" t="s">
        <v>491</v>
      </c>
      <c r="D1581">
        <v>23</v>
      </c>
    </row>
    <row r="1582" spans="1:4" x14ac:dyDescent="0.25">
      <c r="A1582" t="s">
        <v>119</v>
      </c>
      <c r="B1582" t="s">
        <v>92</v>
      </c>
      <c r="C1582" t="s">
        <v>492</v>
      </c>
      <c r="D1582">
        <v>23</v>
      </c>
    </row>
    <row r="1583" spans="1:4" x14ac:dyDescent="0.25">
      <c r="A1583" t="s">
        <v>119</v>
      </c>
      <c r="B1583" t="s">
        <v>92</v>
      </c>
      <c r="C1583" t="s">
        <v>483</v>
      </c>
      <c r="D1583">
        <v>20.9</v>
      </c>
    </row>
    <row r="1584" spans="1:4" x14ac:dyDescent="0.25">
      <c r="A1584" t="s">
        <v>119</v>
      </c>
      <c r="B1584" t="s">
        <v>92</v>
      </c>
      <c r="C1584" t="s">
        <v>486</v>
      </c>
      <c r="D1584">
        <v>20.9</v>
      </c>
    </row>
    <row r="1585" spans="1:4" x14ac:dyDescent="0.25">
      <c r="A1585" t="s">
        <v>119</v>
      </c>
      <c r="B1585" t="s">
        <v>92</v>
      </c>
      <c r="C1585" t="s">
        <v>487</v>
      </c>
      <c r="D1585">
        <v>20.9</v>
      </c>
    </row>
    <row r="1586" spans="1:4" x14ac:dyDescent="0.25">
      <c r="A1586" t="s">
        <v>119</v>
      </c>
      <c r="B1586" t="s">
        <v>92</v>
      </c>
      <c r="C1586" t="s">
        <v>493</v>
      </c>
      <c r="D1586">
        <v>20.9</v>
      </c>
    </row>
    <row r="1587" spans="1:4" x14ac:dyDescent="0.25">
      <c r="A1587" t="s">
        <v>119</v>
      </c>
      <c r="B1587" t="s">
        <v>92</v>
      </c>
      <c r="C1587" t="s">
        <v>496</v>
      </c>
      <c r="D1587">
        <v>20.9</v>
      </c>
    </row>
    <row r="1588" spans="1:4" x14ac:dyDescent="0.25">
      <c r="A1588" t="s">
        <v>119</v>
      </c>
      <c r="B1588" t="s">
        <v>92</v>
      </c>
      <c r="C1588" t="s">
        <v>499</v>
      </c>
      <c r="D1588">
        <v>20.9</v>
      </c>
    </row>
    <row r="1589" spans="1:4" x14ac:dyDescent="0.25">
      <c r="A1589" t="s">
        <v>119</v>
      </c>
      <c r="B1589" t="s">
        <v>93</v>
      </c>
      <c r="C1589" t="s">
        <v>479</v>
      </c>
      <c r="D1589">
        <v>-1</v>
      </c>
    </row>
    <row r="1590" spans="1:4" x14ac:dyDescent="0.25">
      <c r="A1590" t="s">
        <v>119</v>
      </c>
      <c r="B1590" t="s">
        <v>93</v>
      </c>
      <c r="C1590" t="s">
        <v>481</v>
      </c>
      <c r="D1590">
        <v>-1</v>
      </c>
    </row>
    <row r="1591" spans="1:4" x14ac:dyDescent="0.25">
      <c r="A1591" t="s">
        <v>119</v>
      </c>
      <c r="B1591" t="s">
        <v>93</v>
      </c>
      <c r="C1591" t="s">
        <v>491</v>
      </c>
      <c r="D1591">
        <v>-1</v>
      </c>
    </row>
    <row r="1592" spans="1:4" x14ac:dyDescent="0.25">
      <c r="A1592" t="s">
        <v>119</v>
      </c>
      <c r="B1592" t="s">
        <v>93</v>
      </c>
      <c r="C1592" t="s">
        <v>492</v>
      </c>
      <c r="D1592">
        <v>-1</v>
      </c>
    </row>
    <row r="1593" spans="1:4" x14ac:dyDescent="0.25">
      <c r="A1593" t="s">
        <v>119</v>
      </c>
      <c r="B1593" t="s">
        <v>93</v>
      </c>
      <c r="C1593" t="s">
        <v>483</v>
      </c>
      <c r="D1593">
        <v>-1</v>
      </c>
    </row>
    <row r="1594" spans="1:4" x14ac:dyDescent="0.25">
      <c r="A1594" t="s">
        <v>119</v>
      </c>
      <c r="B1594" t="s">
        <v>93</v>
      </c>
      <c r="C1594" t="s">
        <v>486</v>
      </c>
      <c r="D1594">
        <v>-1</v>
      </c>
    </row>
    <row r="1595" spans="1:4" x14ac:dyDescent="0.25">
      <c r="A1595" t="s">
        <v>119</v>
      </c>
      <c r="B1595" t="s">
        <v>93</v>
      </c>
      <c r="C1595" t="s">
        <v>487</v>
      </c>
      <c r="D1595">
        <v>-1</v>
      </c>
    </row>
    <row r="1596" spans="1:4" x14ac:dyDescent="0.25">
      <c r="A1596" t="s">
        <v>119</v>
      </c>
      <c r="B1596" t="s">
        <v>93</v>
      </c>
      <c r="C1596" t="s">
        <v>493</v>
      </c>
      <c r="D1596">
        <v>-1</v>
      </c>
    </row>
    <row r="1597" spans="1:4" x14ac:dyDescent="0.25">
      <c r="A1597" t="s">
        <v>119</v>
      </c>
      <c r="B1597" t="s">
        <v>93</v>
      </c>
      <c r="C1597" t="s">
        <v>496</v>
      </c>
      <c r="D1597">
        <v>-1</v>
      </c>
    </row>
    <row r="1598" spans="1:4" x14ac:dyDescent="0.25">
      <c r="A1598" t="s">
        <v>119</v>
      </c>
      <c r="B1598" t="s">
        <v>93</v>
      </c>
      <c r="C1598" t="s">
        <v>499</v>
      </c>
      <c r="D1598">
        <v>-1</v>
      </c>
    </row>
    <row r="1599" spans="1:4" x14ac:dyDescent="0.25">
      <c r="A1599" t="s">
        <v>120</v>
      </c>
      <c r="B1599" t="s">
        <v>93</v>
      </c>
      <c r="C1599" t="s">
        <v>479</v>
      </c>
      <c r="D1599">
        <v>-1</v>
      </c>
    </row>
    <row r="1600" spans="1:4" x14ac:dyDescent="0.25">
      <c r="A1600" t="s">
        <v>120</v>
      </c>
      <c r="B1600" t="s">
        <v>93</v>
      </c>
      <c r="C1600" t="s">
        <v>481</v>
      </c>
      <c r="D1600">
        <v>-1</v>
      </c>
    </row>
    <row r="1601" spans="1:4" x14ac:dyDescent="0.25">
      <c r="A1601" t="s">
        <v>120</v>
      </c>
      <c r="B1601" t="s">
        <v>93</v>
      </c>
      <c r="C1601" t="s">
        <v>491</v>
      </c>
      <c r="D1601">
        <v>-1</v>
      </c>
    </row>
    <row r="1602" spans="1:4" x14ac:dyDescent="0.25">
      <c r="A1602" t="s">
        <v>120</v>
      </c>
      <c r="B1602" t="s">
        <v>93</v>
      </c>
      <c r="C1602" t="s">
        <v>492</v>
      </c>
      <c r="D1602">
        <v>-1</v>
      </c>
    </row>
    <row r="1603" spans="1:4" x14ac:dyDescent="0.25">
      <c r="A1603" t="s">
        <v>120</v>
      </c>
      <c r="B1603" t="s">
        <v>93</v>
      </c>
      <c r="C1603" t="s">
        <v>483</v>
      </c>
      <c r="D1603">
        <v>-1</v>
      </c>
    </row>
    <row r="1604" spans="1:4" x14ac:dyDescent="0.25">
      <c r="A1604" t="s">
        <v>120</v>
      </c>
      <c r="B1604" t="s">
        <v>93</v>
      </c>
      <c r="C1604" t="s">
        <v>486</v>
      </c>
      <c r="D1604">
        <v>-1</v>
      </c>
    </row>
    <row r="1605" spans="1:4" x14ac:dyDescent="0.25">
      <c r="A1605" t="s">
        <v>120</v>
      </c>
      <c r="B1605" t="s">
        <v>93</v>
      </c>
      <c r="C1605" t="s">
        <v>487</v>
      </c>
      <c r="D1605">
        <v>-1</v>
      </c>
    </row>
    <row r="1606" spans="1:4" x14ac:dyDescent="0.25">
      <c r="A1606" t="s">
        <v>120</v>
      </c>
      <c r="B1606" t="s">
        <v>93</v>
      </c>
      <c r="C1606" t="s">
        <v>493</v>
      </c>
      <c r="D1606">
        <v>-1</v>
      </c>
    </row>
    <row r="1607" spans="1:4" x14ac:dyDescent="0.25">
      <c r="A1607" t="s">
        <v>120</v>
      </c>
      <c r="B1607" t="s">
        <v>93</v>
      </c>
      <c r="C1607" t="s">
        <v>496</v>
      </c>
      <c r="D1607">
        <v>-1</v>
      </c>
    </row>
    <row r="1608" spans="1:4" x14ac:dyDescent="0.25">
      <c r="A1608" t="s">
        <v>120</v>
      </c>
      <c r="B1608" t="s">
        <v>93</v>
      </c>
      <c r="C1608" t="s">
        <v>499</v>
      </c>
      <c r="D1608">
        <v>-1</v>
      </c>
    </row>
    <row r="1609" spans="1:4" x14ac:dyDescent="0.25">
      <c r="A1609" t="s">
        <v>120</v>
      </c>
      <c r="B1609" t="s">
        <v>121</v>
      </c>
      <c r="C1609" t="s">
        <v>479</v>
      </c>
      <c r="D1609">
        <v>1</v>
      </c>
    </row>
    <row r="1610" spans="1:4" x14ac:dyDescent="0.25">
      <c r="A1610" t="s">
        <v>120</v>
      </c>
      <c r="B1610" t="s">
        <v>121</v>
      </c>
      <c r="C1610" t="s">
        <v>481</v>
      </c>
      <c r="D1610">
        <v>1</v>
      </c>
    </row>
    <row r="1611" spans="1:4" x14ac:dyDescent="0.25">
      <c r="A1611" t="s">
        <v>120</v>
      </c>
      <c r="B1611" t="s">
        <v>121</v>
      </c>
      <c r="C1611" t="s">
        <v>491</v>
      </c>
      <c r="D1611">
        <v>1</v>
      </c>
    </row>
    <row r="1612" spans="1:4" x14ac:dyDescent="0.25">
      <c r="A1612" t="s">
        <v>120</v>
      </c>
      <c r="B1612" t="s">
        <v>121</v>
      </c>
      <c r="C1612" t="s">
        <v>492</v>
      </c>
      <c r="D1612">
        <v>1</v>
      </c>
    </row>
    <row r="1613" spans="1:4" x14ac:dyDescent="0.25">
      <c r="A1613" t="s">
        <v>120</v>
      </c>
      <c r="B1613" t="s">
        <v>121</v>
      </c>
      <c r="C1613" t="s">
        <v>483</v>
      </c>
      <c r="D1613">
        <v>1</v>
      </c>
    </row>
    <row r="1614" spans="1:4" x14ac:dyDescent="0.25">
      <c r="A1614" t="s">
        <v>120</v>
      </c>
      <c r="B1614" t="s">
        <v>121</v>
      </c>
      <c r="C1614" t="s">
        <v>486</v>
      </c>
      <c r="D1614">
        <v>1</v>
      </c>
    </row>
    <row r="1615" spans="1:4" x14ac:dyDescent="0.25">
      <c r="A1615" t="s">
        <v>120</v>
      </c>
      <c r="B1615" t="s">
        <v>121</v>
      </c>
      <c r="C1615" t="s">
        <v>487</v>
      </c>
      <c r="D1615">
        <v>1</v>
      </c>
    </row>
    <row r="1616" spans="1:4" x14ac:dyDescent="0.25">
      <c r="A1616" t="s">
        <v>120</v>
      </c>
      <c r="B1616" t="s">
        <v>121</v>
      </c>
      <c r="C1616" t="s">
        <v>493</v>
      </c>
      <c r="D1616">
        <v>1</v>
      </c>
    </row>
    <row r="1617" spans="1:4" x14ac:dyDescent="0.25">
      <c r="A1617" t="s">
        <v>120</v>
      </c>
      <c r="B1617" t="s">
        <v>121</v>
      </c>
      <c r="C1617" t="s">
        <v>496</v>
      </c>
      <c r="D1617">
        <v>1</v>
      </c>
    </row>
    <row r="1618" spans="1:4" x14ac:dyDescent="0.25">
      <c r="A1618" t="s">
        <v>120</v>
      </c>
      <c r="B1618" t="s">
        <v>121</v>
      </c>
      <c r="C1618" t="s">
        <v>499</v>
      </c>
      <c r="D1618">
        <v>1</v>
      </c>
    </row>
    <row r="1619" spans="1:4" x14ac:dyDescent="0.25">
      <c r="A1619" t="s">
        <v>98</v>
      </c>
      <c r="B1619" t="s">
        <v>91</v>
      </c>
      <c r="C1619" t="s">
        <v>479</v>
      </c>
      <c r="D1619">
        <v>-15.5</v>
      </c>
    </row>
    <row r="1620" spans="1:4" x14ac:dyDescent="0.25">
      <c r="A1620" t="s">
        <v>98</v>
      </c>
      <c r="B1620" t="s">
        <v>91</v>
      </c>
      <c r="C1620" t="s">
        <v>481</v>
      </c>
      <c r="D1620">
        <v>-15.5</v>
      </c>
    </row>
    <row r="1621" spans="1:4" x14ac:dyDescent="0.25">
      <c r="A1621" t="s">
        <v>98</v>
      </c>
      <c r="B1621" t="s">
        <v>91</v>
      </c>
      <c r="C1621" t="s">
        <v>491</v>
      </c>
      <c r="D1621">
        <v>-15.5</v>
      </c>
    </row>
    <row r="1622" spans="1:4" x14ac:dyDescent="0.25">
      <c r="A1622" t="s">
        <v>98</v>
      </c>
      <c r="B1622" t="s">
        <v>91</v>
      </c>
      <c r="C1622" t="s">
        <v>492</v>
      </c>
      <c r="D1622">
        <v>-15.5</v>
      </c>
    </row>
    <row r="1623" spans="1:4" x14ac:dyDescent="0.25">
      <c r="A1623" t="s">
        <v>98</v>
      </c>
      <c r="B1623" t="s">
        <v>91</v>
      </c>
      <c r="C1623" t="s">
        <v>483</v>
      </c>
      <c r="D1623">
        <v>-15.5</v>
      </c>
    </row>
    <row r="1624" spans="1:4" x14ac:dyDescent="0.25">
      <c r="A1624" t="s">
        <v>98</v>
      </c>
      <c r="B1624" t="s">
        <v>91</v>
      </c>
      <c r="C1624" t="s">
        <v>493</v>
      </c>
      <c r="D1624">
        <v>-15.5</v>
      </c>
    </row>
    <row r="1625" spans="1:4" x14ac:dyDescent="0.25">
      <c r="A1625" t="s">
        <v>98</v>
      </c>
      <c r="B1625" t="s">
        <v>91</v>
      </c>
      <c r="C1625" t="s">
        <v>486</v>
      </c>
      <c r="D1625">
        <v>-15.5</v>
      </c>
    </row>
    <row r="1626" spans="1:4" x14ac:dyDescent="0.25">
      <c r="A1626" t="s">
        <v>98</v>
      </c>
      <c r="B1626" t="s">
        <v>91</v>
      </c>
      <c r="C1626" t="s">
        <v>487</v>
      </c>
      <c r="D1626">
        <v>-15.5</v>
      </c>
    </row>
    <row r="1627" spans="1:4" x14ac:dyDescent="0.25">
      <c r="A1627" t="s">
        <v>98</v>
      </c>
      <c r="B1627" t="s">
        <v>91</v>
      </c>
      <c r="C1627" t="s">
        <v>496</v>
      </c>
      <c r="D1627">
        <v>-15.5</v>
      </c>
    </row>
    <row r="1628" spans="1:4" x14ac:dyDescent="0.25">
      <c r="A1628" t="s">
        <v>98</v>
      </c>
      <c r="B1628" t="s">
        <v>91</v>
      </c>
      <c r="C1628" t="s">
        <v>499</v>
      </c>
      <c r="D1628">
        <v>-15.5</v>
      </c>
    </row>
    <row r="1629" spans="1:4" x14ac:dyDescent="0.25">
      <c r="A1629" t="s">
        <v>98</v>
      </c>
      <c r="B1629" t="s">
        <v>92</v>
      </c>
      <c r="C1629" t="s">
        <v>479</v>
      </c>
      <c r="D1629">
        <v>8.3000000000000007</v>
      </c>
    </row>
    <row r="1630" spans="1:4" x14ac:dyDescent="0.25">
      <c r="A1630" t="s">
        <v>98</v>
      </c>
      <c r="B1630" t="s">
        <v>92</v>
      </c>
      <c r="C1630" t="s">
        <v>481</v>
      </c>
      <c r="D1630">
        <v>8.3000000000000007</v>
      </c>
    </row>
    <row r="1631" spans="1:4" x14ac:dyDescent="0.25">
      <c r="A1631" t="s">
        <v>98</v>
      </c>
      <c r="B1631" t="s">
        <v>92</v>
      </c>
      <c r="C1631" t="s">
        <v>491</v>
      </c>
      <c r="D1631">
        <v>8.3000000000000007</v>
      </c>
    </row>
    <row r="1632" spans="1:4" x14ac:dyDescent="0.25">
      <c r="A1632" t="s">
        <v>98</v>
      </c>
      <c r="B1632" t="s">
        <v>92</v>
      </c>
      <c r="C1632" t="s">
        <v>492</v>
      </c>
      <c r="D1632">
        <v>8.3000000000000007</v>
      </c>
    </row>
    <row r="1633" spans="1:4" x14ac:dyDescent="0.25">
      <c r="A1633" t="s">
        <v>98</v>
      </c>
      <c r="B1633" t="s">
        <v>92</v>
      </c>
      <c r="C1633" t="s">
        <v>483</v>
      </c>
      <c r="D1633">
        <v>8.3000000000000007</v>
      </c>
    </row>
    <row r="1634" spans="1:4" x14ac:dyDescent="0.25">
      <c r="A1634" t="s">
        <v>98</v>
      </c>
      <c r="B1634" t="s">
        <v>92</v>
      </c>
      <c r="C1634" t="s">
        <v>493</v>
      </c>
      <c r="D1634">
        <v>8.3000000000000007</v>
      </c>
    </row>
    <row r="1635" spans="1:4" x14ac:dyDescent="0.25">
      <c r="A1635" t="s">
        <v>98</v>
      </c>
      <c r="B1635" t="s">
        <v>92</v>
      </c>
      <c r="C1635" t="s">
        <v>486</v>
      </c>
      <c r="D1635">
        <v>8.3000000000000007</v>
      </c>
    </row>
    <row r="1636" spans="1:4" x14ac:dyDescent="0.25">
      <c r="A1636" t="s">
        <v>98</v>
      </c>
      <c r="B1636" t="s">
        <v>92</v>
      </c>
      <c r="C1636" t="s">
        <v>487</v>
      </c>
      <c r="D1636">
        <v>8.3000000000000007</v>
      </c>
    </row>
    <row r="1637" spans="1:4" x14ac:dyDescent="0.25">
      <c r="A1637" t="s">
        <v>98</v>
      </c>
      <c r="B1637" t="s">
        <v>92</v>
      </c>
      <c r="C1637" t="s">
        <v>496</v>
      </c>
      <c r="D1637">
        <v>8.3000000000000007</v>
      </c>
    </row>
    <row r="1638" spans="1:4" x14ac:dyDescent="0.25">
      <c r="A1638" t="s">
        <v>98</v>
      </c>
      <c r="B1638" t="s">
        <v>92</v>
      </c>
      <c r="C1638" t="s">
        <v>499</v>
      </c>
      <c r="D1638">
        <v>8.3000000000000007</v>
      </c>
    </row>
    <row r="1639" spans="1:4" x14ac:dyDescent="0.25">
      <c r="A1639" t="s">
        <v>98</v>
      </c>
      <c r="B1639" t="s">
        <v>63</v>
      </c>
      <c r="C1639" t="s">
        <v>479</v>
      </c>
      <c r="D1639">
        <v>27.8</v>
      </c>
    </row>
    <row r="1640" spans="1:4" x14ac:dyDescent="0.25">
      <c r="A1640" t="s">
        <v>98</v>
      </c>
      <c r="B1640" t="s">
        <v>63</v>
      </c>
      <c r="C1640" t="s">
        <v>481</v>
      </c>
      <c r="D1640">
        <v>27.8</v>
      </c>
    </row>
    <row r="1641" spans="1:4" x14ac:dyDescent="0.25">
      <c r="A1641" t="s">
        <v>98</v>
      </c>
      <c r="B1641" t="s">
        <v>63</v>
      </c>
      <c r="C1641" t="s">
        <v>491</v>
      </c>
      <c r="D1641">
        <v>27.8</v>
      </c>
    </row>
    <row r="1642" spans="1:4" x14ac:dyDescent="0.25">
      <c r="A1642" t="s">
        <v>98</v>
      </c>
      <c r="B1642" t="s">
        <v>63</v>
      </c>
      <c r="C1642" t="s">
        <v>492</v>
      </c>
      <c r="D1642">
        <v>27.8</v>
      </c>
    </row>
    <row r="1643" spans="1:4" x14ac:dyDescent="0.25">
      <c r="A1643" t="s">
        <v>98</v>
      </c>
      <c r="B1643" t="s">
        <v>63</v>
      </c>
      <c r="C1643" t="s">
        <v>483</v>
      </c>
      <c r="D1643">
        <v>27.8</v>
      </c>
    </row>
    <row r="1644" spans="1:4" x14ac:dyDescent="0.25">
      <c r="A1644" t="s">
        <v>98</v>
      </c>
      <c r="B1644" t="s">
        <v>63</v>
      </c>
      <c r="C1644" t="s">
        <v>493</v>
      </c>
      <c r="D1644">
        <v>27.8</v>
      </c>
    </row>
    <row r="1645" spans="1:4" x14ac:dyDescent="0.25">
      <c r="A1645" t="s">
        <v>98</v>
      </c>
      <c r="B1645" t="s">
        <v>63</v>
      </c>
      <c r="C1645" t="s">
        <v>486</v>
      </c>
      <c r="D1645">
        <v>27.8</v>
      </c>
    </row>
    <row r="1646" spans="1:4" x14ac:dyDescent="0.25">
      <c r="A1646" t="s">
        <v>98</v>
      </c>
      <c r="B1646" t="s">
        <v>63</v>
      </c>
      <c r="C1646" t="s">
        <v>487</v>
      </c>
      <c r="D1646">
        <v>27.8</v>
      </c>
    </row>
    <row r="1647" spans="1:4" x14ac:dyDescent="0.25">
      <c r="A1647" t="s">
        <v>98</v>
      </c>
      <c r="B1647" t="s">
        <v>63</v>
      </c>
      <c r="C1647" t="s">
        <v>496</v>
      </c>
      <c r="D1647">
        <v>27.8</v>
      </c>
    </row>
    <row r="1648" spans="1:4" x14ac:dyDescent="0.25">
      <c r="A1648" t="s">
        <v>98</v>
      </c>
      <c r="B1648" t="s">
        <v>63</v>
      </c>
      <c r="C1648" t="s">
        <v>499</v>
      </c>
      <c r="D1648">
        <v>27.8</v>
      </c>
    </row>
    <row r="1649" spans="1:4" x14ac:dyDescent="0.25">
      <c r="A1649" t="s">
        <v>98</v>
      </c>
      <c r="B1649" t="s">
        <v>64</v>
      </c>
      <c r="C1649" t="s">
        <v>479</v>
      </c>
      <c r="D1649">
        <v>35.4</v>
      </c>
    </row>
    <row r="1650" spans="1:4" x14ac:dyDescent="0.25">
      <c r="A1650" t="s">
        <v>98</v>
      </c>
      <c r="B1650" t="s">
        <v>64</v>
      </c>
      <c r="C1650" t="s">
        <v>481</v>
      </c>
      <c r="D1650">
        <v>35.4</v>
      </c>
    </row>
    <row r="1651" spans="1:4" x14ac:dyDescent="0.25">
      <c r="A1651" t="s">
        <v>98</v>
      </c>
      <c r="B1651" t="s">
        <v>64</v>
      </c>
      <c r="C1651" t="s">
        <v>491</v>
      </c>
      <c r="D1651">
        <v>34</v>
      </c>
    </row>
    <row r="1652" spans="1:4" x14ac:dyDescent="0.25">
      <c r="A1652" t="s">
        <v>98</v>
      </c>
      <c r="B1652" t="s">
        <v>64</v>
      </c>
      <c r="C1652" t="s">
        <v>492</v>
      </c>
      <c r="D1652">
        <v>34</v>
      </c>
    </row>
    <row r="1653" spans="1:4" x14ac:dyDescent="0.25">
      <c r="A1653" t="s">
        <v>98</v>
      </c>
      <c r="B1653" t="s">
        <v>64</v>
      </c>
      <c r="C1653" t="s">
        <v>483</v>
      </c>
      <c r="D1653">
        <v>33.6</v>
      </c>
    </row>
    <row r="1654" spans="1:4" x14ac:dyDescent="0.25">
      <c r="A1654" t="s">
        <v>98</v>
      </c>
      <c r="B1654" t="s">
        <v>64</v>
      </c>
      <c r="C1654" t="s">
        <v>493</v>
      </c>
      <c r="D1654">
        <v>32.6</v>
      </c>
    </row>
    <row r="1655" spans="1:4" x14ac:dyDescent="0.25">
      <c r="A1655" t="s">
        <v>98</v>
      </c>
      <c r="B1655" t="s">
        <v>64</v>
      </c>
      <c r="C1655" t="s">
        <v>486</v>
      </c>
      <c r="D1655">
        <v>32.6</v>
      </c>
    </row>
    <row r="1656" spans="1:4" x14ac:dyDescent="0.25">
      <c r="A1656" t="s">
        <v>98</v>
      </c>
      <c r="B1656" t="s">
        <v>64</v>
      </c>
      <c r="C1656" t="s">
        <v>487</v>
      </c>
      <c r="D1656">
        <v>32.6</v>
      </c>
    </row>
    <row r="1657" spans="1:4" x14ac:dyDescent="0.25">
      <c r="A1657" t="s">
        <v>98</v>
      </c>
      <c r="B1657" t="s">
        <v>64</v>
      </c>
      <c r="C1657" t="s">
        <v>496</v>
      </c>
      <c r="D1657">
        <v>32.6</v>
      </c>
    </row>
    <row r="1658" spans="1:4" x14ac:dyDescent="0.25">
      <c r="A1658" t="s">
        <v>98</v>
      </c>
      <c r="B1658" t="s">
        <v>64</v>
      </c>
      <c r="C1658" t="s">
        <v>499</v>
      </c>
      <c r="D1658">
        <v>32.6</v>
      </c>
    </row>
    <row r="1659" spans="1:4" x14ac:dyDescent="0.25">
      <c r="A1659" t="s">
        <v>98</v>
      </c>
      <c r="B1659" t="s">
        <v>24</v>
      </c>
      <c r="C1659" t="s">
        <v>479</v>
      </c>
      <c r="D1659">
        <v>35.200000000000003</v>
      </c>
    </row>
    <row r="1660" spans="1:4" x14ac:dyDescent="0.25">
      <c r="A1660" t="s">
        <v>98</v>
      </c>
      <c r="B1660" t="s">
        <v>24</v>
      </c>
      <c r="C1660" t="s">
        <v>481</v>
      </c>
      <c r="D1660">
        <v>35.200000000000003</v>
      </c>
    </row>
    <row r="1661" spans="1:4" x14ac:dyDescent="0.25">
      <c r="A1661" t="s">
        <v>98</v>
      </c>
      <c r="B1661" t="s">
        <v>24</v>
      </c>
      <c r="C1661" t="s">
        <v>491</v>
      </c>
      <c r="D1661">
        <v>35.200000000000003</v>
      </c>
    </row>
    <row r="1662" spans="1:4" x14ac:dyDescent="0.25">
      <c r="A1662" t="s">
        <v>98</v>
      </c>
      <c r="B1662" t="s">
        <v>24</v>
      </c>
      <c r="C1662" t="s">
        <v>492</v>
      </c>
      <c r="D1662">
        <v>35.200000000000003</v>
      </c>
    </row>
    <row r="1663" spans="1:4" x14ac:dyDescent="0.25">
      <c r="A1663" t="s">
        <v>98</v>
      </c>
      <c r="B1663" t="s">
        <v>24</v>
      </c>
      <c r="C1663" t="s">
        <v>483</v>
      </c>
      <c r="D1663">
        <v>35.200000000000003</v>
      </c>
    </row>
    <row r="1664" spans="1:4" x14ac:dyDescent="0.25">
      <c r="A1664" t="s">
        <v>98</v>
      </c>
      <c r="B1664" t="s">
        <v>24</v>
      </c>
      <c r="C1664" t="s">
        <v>493</v>
      </c>
      <c r="D1664">
        <v>35.200000000000003</v>
      </c>
    </row>
    <row r="1665" spans="1:4" x14ac:dyDescent="0.25">
      <c r="A1665" t="s">
        <v>98</v>
      </c>
      <c r="B1665" t="s">
        <v>24</v>
      </c>
      <c r="C1665" t="s">
        <v>486</v>
      </c>
      <c r="D1665">
        <v>35.200000000000003</v>
      </c>
    </row>
    <row r="1666" spans="1:4" x14ac:dyDescent="0.25">
      <c r="A1666" t="s">
        <v>98</v>
      </c>
      <c r="B1666" t="s">
        <v>24</v>
      </c>
      <c r="C1666" t="s">
        <v>487</v>
      </c>
      <c r="D1666">
        <v>35.200000000000003</v>
      </c>
    </row>
    <row r="1667" spans="1:4" x14ac:dyDescent="0.25">
      <c r="A1667" t="s">
        <v>98</v>
      </c>
      <c r="B1667" t="s">
        <v>24</v>
      </c>
      <c r="C1667" t="s">
        <v>496</v>
      </c>
      <c r="D1667">
        <v>35.200000000000003</v>
      </c>
    </row>
    <row r="1668" spans="1:4" x14ac:dyDescent="0.25">
      <c r="A1668" t="s">
        <v>98</v>
      </c>
      <c r="B1668" t="s">
        <v>24</v>
      </c>
      <c r="C1668" t="s">
        <v>499</v>
      </c>
      <c r="D1668">
        <v>35.200000000000003</v>
      </c>
    </row>
    <row r="1669" spans="1:4" x14ac:dyDescent="0.25">
      <c r="A1669" t="s">
        <v>98</v>
      </c>
      <c r="B1669" t="s">
        <v>5</v>
      </c>
      <c r="C1669" t="s">
        <v>479</v>
      </c>
      <c r="D1669">
        <v>23.1</v>
      </c>
    </row>
    <row r="1670" spans="1:4" x14ac:dyDescent="0.25">
      <c r="A1670" t="s">
        <v>98</v>
      </c>
      <c r="B1670" t="s">
        <v>5</v>
      </c>
      <c r="C1670" t="s">
        <v>481</v>
      </c>
      <c r="D1670">
        <v>23.1</v>
      </c>
    </row>
    <row r="1671" spans="1:4" x14ac:dyDescent="0.25">
      <c r="A1671" t="s">
        <v>98</v>
      </c>
      <c r="B1671" t="s">
        <v>5</v>
      </c>
      <c r="C1671" t="s">
        <v>491</v>
      </c>
      <c r="D1671">
        <v>22.8</v>
      </c>
    </row>
    <row r="1672" spans="1:4" x14ac:dyDescent="0.25">
      <c r="A1672" t="s">
        <v>98</v>
      </c>
      <c r="B1672" t="s">
        <v>5</v>
      </c>
      <c r="C1672" t="s">
        <v>492</v>
      </c>
      <c r="D1672">
        <v>22.8</v>
      </c>
    </row>
    <row r="1673" spans="1:4" x14ac:dyDescent="0.25">
      <c r="A1673" t="s">
        <v>98</v>
      </c>
      <c r="B1673" t="s">
        <v>5</v>
      </c>
      <c r="C1673" t="s">
        <v>483</v>
      </c>
      <c r="D1673">
        <v>22.7</v>
      </c>
    </row>
    <row r="1674" spans="1:4" x14ac:dyDescent="0.25">
      <c r="A1674" t="s">
        <v>98</v>
      </c>
      <c r="B1674" t="s">
        <v>5</v>
      </c>
      <c r="C1674" t="s">
        <v>493</v>
      </c>
      <c r="D1674">
        <v>22.6</v>
      </c>
    </row>
    <row r="1675" spans="1:4" x14ac:dyDescent="0.25">
      <c r="A1675" t="s">
        <v>98</v>
      </c>
      <c r="B1675" t="s">
        <v>5</v>
      </c>
      <c r="C1675" t="s">
        <v>486</v>
      </c>
      <c r="D1675">
        <v>22.6</v>
      </c>
    </row>
    <row r="1676" spans="1:4" x14ac:dyDescent="0.25">
      <c r="A1676" t="s">
        <v>98</v>
      </c>
      <c r="B1676" t="s">
        <v>5</v>
      </c>
      <c r="C1676" t="s">
        <v>487</v>
      </c>
      <c r="D1676">
        <v>22.6</v>
      </c>
    </row>
    <row r="1677" spans="1:4" x14ac:dyDescent="0.25">
      <c r="A1677" t="s">
        <v>98</v>
      </c>
      <c r="B1677" t="s">
        <v>5</v>
      </c>
      <c r="C1677" t="s">
        <v>496</v>
      </c>
      <c r="D1677">
        <v>22.6</v>
      </c>
    </row>
    <row r="1678" spans="1:4" x14ac:dyDescent="0.25">
      <c r="A1678" t="s">
        <v>98</v>
      </c>
      <c r="B1678" t="s">
        <v>5</v>
      </c>
      <c r="C1678" t="s">
        <v>499</v>
      </c>
      <c r="D1678">
        <v>22.6</v>
      </c>
    </row>
    <row r="1679" spans="1:4" x14ac:dyDescent="0.25">
      <c r="A1679" t="s">
        <v>98</v>
      </c>
      <c r="B1679" t="s">
        <v>22</v>
      </c>
      <c r="C1679" t="s">
        <v>479</v>
      </c>
      <c r="D1679">
        <v>0.17</v>
      </c>
    </row>
    <row r="1680" spans="1:4" x14ac:dyDescent="0.25">
      <c r="A1680" t="s">
        <v>98</v>
      </c>
      <c r="B1680" t="s">
        <v>22</v>
      </c>
      <c r="C1680" t="s">
        <v>481</v>
      </c>
      <c r="D1680">
        <v>0.17</v>
      </c>
    </row>
    <row r="1681" spans="1:4" x14ac:dyDescent="0.25">
      <c r="A1681" t="s">
        <v>98</v>
      </c>
      <c r="B1681" t="s">
        <v>22</v>
      </c>
      <c r="C1681" t="s">
        <v>491</v>
      </c>
      <c r="D1681">
        <v>0.17</v>
      </c>
    </row>
    <row r="1682" spans="1:4" x14ac:dyDescent="0.25">
      <c r="A1682" t="s">
        <v>98</v>
      </c>
      <c r="B1682" t="s">
        <v>22</v>
      </c>
      <c r="C1682" t="s">
        <v>492</v>
      </c>
      <c r="D1682">
        <v>0.17</v>
      </c>
    </row>
    <row r="1683" spans="1:4" x14ac:dyDescent="0.25">
      <c r="A1683" t="s">
        <v>98</v>
      </c>
      <c r="B1683" t="s">
        <v>22</v>
      </c>
      <c r="C1683" t="s">
        <v>483</v>
      </c>
      <c r="D1683">
        <v>0.17</v>
      </c>
    </row>
    <row r="1684" spans="1:4" x14ac:dyDescent="0.25">
      <c r="A1684" t="s">
        <v>98</v>
      </c>
      <c r="B1684" t="s">
        <v>22</v>
      </c>
      <c r="C1684" t="s">
        <v>493</v>
      </c>
      <c r="D1684">
        <v>0.17</v>
      </c>
    </row>
    <row r="1685" spans="1:4" x14ac:dyDescent="0.25">
      <c r="A1685" t="s">
        <v>98</v>
      </c>
      <c r="B1685" t="s">
        <v>22</v>
      </c>
      <c r="C1685" t="s">
        <v>486</v>
      </c>
      <c r="D1685">
        <v>0.17</v>
      </c>
    </row>
    <row r="1686" spans="1:4" x14ac:dyDescent="0.25">
      <c r="A1686" t="s">
        <v>98</v>
      </c>
      <c r="B1686" t="s">
        <v>22</v>
      </c>
      <c r="C1686" t="s">
        <v>487</v>
      </c>
      <c r="D1686">
        <v>0.17</v>
      </c>
    </row>
    <row r="1687" spans="1:4" x14ac:dyDescent="0.25">
      <c r="A1687" t="s">
        <v>98</v>
      </c>
      <c r="B1687" t="s">
        <v>22</v>
      </c>
      <c r="C1687" t="s">
        <v>496</v>
      </c>
      <c r="D1687">
        <v>0.17</v>
      </c>
    </row>
    <row r="1688" spans="1:4" x14ac:dyDescent="0.25">
      <c r="A1688" t="s">
        <v>98</v>
      </c>
      <c r="B1688" t="s">
        <v>22</v>
      </c>
      <c r="C1688" t="s">
        <v>499</v>
      </c>
      <c r="D1688">
        <v>0.17</v>
      </c>
    </row>
    <row r="1689" spans="1:4" x14ac:dyDescent="0.25">
      <c r="A1689" t="s">
        <v>98</v>
      </c>
      <c r="B1689" t="s">
        <v>93</v>
      </c>
      <c r="C1689" t="s">
        <v>479</v>
      </c>
      <c r="D1689">
        <v>1</v>
      </c>
    </row>
    <row r="1690" spans="1:4" x14ac:dyDescent="0.25">
      <c r="A1690" t="s">
        <v>98</v>
      </c>
      <c r="B1690" t="s">
        <v>93</v>
      </c>
      <c r="C1690" t="s">
        <v>481</v>
      </c>
      <c r="D1690">
        <v>1</v>
      </c>
    </row>
    <row r="1691" spans="1:4" x14ac:dyDescent="0.25">
      <c r="A1691" t="s">
        <v>98</v>
      </c>
      <c r="B1691" t="s">
        <v>93</v>
      </c>
      <c r="C1691" t="s">
        <v>491</v>
      </c>
      <c r="D1691">
        <v>1</v>
      </c>
    </row>
    <row r="1692" spans="1:4" x14ac:dyDescent="0.25">
      <c r="A1692" t="s">
        <v>98</v>
      </c>
      <c r="B1692" t="s">
        <v>93</v>
      </c>
      <c r="C1692" t="s">
        <v>492</v>
      </c>
      <c r="D1692">
        <v>1</v>
      </c>
    </row>
    <row r="1693" spans="1:4" x14ac:dyDescent="0.25">
      <c r="A1693" t="s">
        <v>98</v>
      </c>
      <c r="B1693" t="s">
        <v>93</v>
      </c>
      <c r="C1693" t="s">
        <v>483</v>
      </c>
      <c r="D1693">
        <v>1</v>
      </c>
    </row>
    <row r="1694" spans="1:4" x14ac:dyDescent="0.25">
      <c r="A1694" t="s">
        <v>98</v>
      </c>
      <c r="B1694" t="s">
        <v>93</v>
      </c>
      <c r="C1694" t="s">
        <v>493</v>
      </c>
      <c r="D1694">
        <v>1</v>
      </c>
    </row>
    <row r="1695" spans="1:4" x14ac:dyDescent="0.25">
      <c r="A1695" t="s">
        <v>98</v>
      </c>
      <c r="B1695" t="s">
        <v>93</v>
      </c>
      <c r="C1695" t="s">
        <v>486</v>
      </c>
      <c r="D1695">
        <v>1</v>
      </c>
    </row>
    <row r="1696" spans="1:4" x14ac:dyDescent="0.25">
      <c r="A1696" t="s">
        <v>98</v>
      </c>
      <c r="B1696" t="s">
        <v>93</v>
      </c>
      <c r="C1696" t="s">
        <v>487</v>
      </c>
      <c r="D1696">
        <v>1</v>
      </c>
    </row>
    <row r="1697" spans="1:4" x14ac:dyDescent="0.25">
      <c r="A1697" t="s">
        <v>98</v>
      </c>
      <c r="B1697" t="s">
        <v>93</v>
      </c>
      <c r="C1697" t="s">
        <v>496</v>
      </c>
      <c r="D1697">
        <v>1</v>
      </c>
    </row>
    <row r="1698" spans="1:4" x14ac:dyDescent="0.25">
      <c r="A1698" t="s">
        <v>98</v>
      </c>
      <c r="B1698" t="s">
        <v>93</v>
      </c>
      <c r="C1698" t="s">
        <v>499</v>
      </c>
      <c r="D1698">
        <v>1</v>
      </c>
    </row>
    <row r="1699" spans="1:4" x14ac:dyDescent="0.25">
      <c r="A1699" t="s">
        <v>98</v>
      </c>
      <c r="B1699" t="s">
        <v>615</v>
      </c>
      <c r="C1699" t="s">
        <v>479</v>
      </c>
      <c r="D1699">
        <v>0.115</v>
      </c>
    </row>
    <row r="1700" spans="1:4" x14ac:dyDescent="0.25">
      <c r="A1700" t="s">
        <v>98</v>
      </c>
      <c r="B1700" t="s">
        <v>615</v>
      </c>
      <c r="C1700" t="s">
        <v>481</v>
      </c>
      <c r="D1700">
        <v>0.115</v>
      </c>
    </row>
    <row r="1701" spans="1:4" x14ac:dyDescent="0.25">
      <c r="A1701" t="s">
        <v>98</v>
      </c>
      <c r="B1701" t="s">
        <v>615</v>
      </c>
      <c r="C1701" t="s">
        <v>491</v>
      </c>
      <c r="D1701">
        <v>0.115</v>
      </c>
    </row>
    <row r="1702" spans="1:4" x14ac:dyDescent="0.25">
      <c r="A1702" t="s">
        <v>98</v>
      </c>
      <c r="B1702" t="s">
        <v>615</v>
      </c>
      <c r="C1702" t="s">
        <v>492</v>
      </c>
      <c r="D1702">
        <v>0.115</v>
      </c>
    </row>
    <row r="1703" spans="1:4" x14ac:dyDescent="0.25">
      <c r="A1703" t="s">
        <v>98</v>
      </c>
      <c r="B1703" t="s">
        <v>615</v>
      </c>
      <c r="C1703" t="s">
        <v>483</v>
      </c>
      <c r="D1703">
        <v>0.115</v>
      </c>
    </row>
    <row r="1704" spans="1:4" x14ac:dyDescent="0.25">
      <c r="A1704" t="s">
        <v>98</v>
      </c>
      <c r="B1704" t="s">
        <v>615</v>
      </c>
      <c r="C1704" t="s">
        <v>493</v>
      </c>
      <c r="D1704">
        <v>0.14000000000000001</v>
      </c>
    </row>
    <row r="1705" spans="1:4" x14ac:dyDescent="0.25">
      <c r="A1705" t="s">
        <v>98</v>
      </c>
      <c r="B1705" t="s">
        <v>615</v>
      </c>
      <c r="C1705" t="s">
        <v>486</v>
      </c>
      <c r="D1705">
        <v>0.153</v>
      </c>
    </row>
    <row r="1706" spans="1:4" x14ac:dyDescent="0.25">
      <c r="A1706" t="s">
        <v>98</v>
      </c>
      <c r="B1706" t="s">
        <v>615</v>
      </c>
      <c r="C1706" t="s">
        <v>487</v>
      </c>
      <c r="D1706">
        <v>0.115</v>
      </c>
    </row>
    <row r="1707" spans="1:4" x14ac:dyDescent="0.25">
      <c r="A1707" t="s">
        <v>98</v>
      </c>
      <c r="B1707" t="s">
        <v>615</v>
      </c>
      <c r="C1707" t="s">
        <v>496</v>
      </c>
      <c r="D1707">
        <v>0.10199999999999999</v>
      </c>
    </row>
    <row r="1708" spans="1:4" x14ac:dyDescent="0.25">
      <c r="A1708" t="s">
        <v>98</v>
      </c>
      <c r="B1708" t="s">
        <v>615</v>
      </c>
      <c r="C1708" t="s">
        <v>499</v>
      </c>
      <c r="D1708">
        <v>0.14000000000000001</v>
      </c>
    </row>
    <row r="1709" spans="1:4" x14ac:dyDescent="0.25">
      <c r="A1709" t="s">
        <v>98</v>
      </c>
      <c r="B1709" t="s">
        <v>67</v>
      </c>
      <c r="C1709" t="s">
        <v>479</v>
      </c>
      <c r="D1709">
        <v>10</v>
      </c>
    </row>
    <row r="1710" spans="1:4" x14ac:dyDescent="0.25">
      <c r="A1710" t="s">
        <v>98</v>
      </c>
      <c r="B1710" t="s">
        <v>67</v>
      </c>
      <c r="C1710" t="s">
        <v>481</v>
      </c>
      <c r="D1710">
        <v>10</v>
      </c>
    </row>
    <row r="1711" spans="1:4" x14ac:dyDescent="0.25">
      <c r="A1711" t="s">
        <v>98</v>
      </c>
      <c r="B1711" t="s">
        <v>67</v>
      </c>
      <c r="C1711" t="s">
        <v>491</v>
      </c>
      <c r="D1711">
        <v>10</v>
      </c>
    </row>
    <row r="1712" spans="1:4" x14ac:dyDescent="0.25">
      <c r="A1712" t="s">
        <v>98</v>
      </c>
      <c r="B1712" t="s">
        <v>67</v>
      </c>
      <c r="C1712" t="s">
        <v>492</v>
      </c>
      <c r="D1712">
        <v>10</v>
      </c>
    </row>
    <row r="1713" spans="1:4" x14ac:dyDescent="0.25">
      <c r="A1713" t="s">
        <v>98</v>
      </c>
      <c r="B1713" t="s">
        <v>67</v>
      </c>
      <c r="C1713" t="s">
        <v>483</v>
      </c>
      <c r="D1713">
        <v>10</v>
      </c>
    </row>
    <row r="1714" spans="1:4" x14ac:dyDescent="0.25">
      <c r="A1714" t="s">
        <v>98</v>
      </c>
      <c r="B1714" t="s">
        <v>67</v>
      </c>
      <c r="C1714" t="s">
        <v>493</v>
      </c>
      <c r="D1714">
        <v>10</v>
      </c>
    </row>
    <row r="1715" spans="1:4" x14ac:dyDescent="0.25">
      <c r="A1715" t="s">
        <v>98</v>
      </c>
      <c r="B1715" t="s">
        <v>67</v>
      </c>
      <c r="C1715" t="s">
        <v>486</v>
      </c>
      <c r="D1715">
        <v>10</v>
      </c>
    </row>
    <row r="1716" spans="1:4" x14ac:dyDescent="0.25">
      <c r="A1716" t="s">
        <v>98</v>
      </c>
      <c r="B1716" t="s">
        <v>67</v>
      </c>
      <c r="C1716" t="s">
        <v>487</v>
      </c>
      <c r="D1716">
        <v>10</v>
      </c>
    </row>
    <row r="1717" spans="1:4" x14ac:dyDescent="0.25">
      <c r="A1717" t="s">
        <v>98</v>
      </c>
      <c r="B1717" t="s">
        <v>67</v>
      </c>
      <c r="C1717" t="s">
        <v>496</v>
      </c>
      <c r="D1717">
        <v>10</v>
      </c>
    </row>
    <row r="1718" spans="1:4" x14ac:dyDescent="0.25">
      <c r="A1718" t="s">
        <v>98</v>
      </c>
      <c r="B1718" t="s">
        <v>67</v>
      </c>
      <c r="C1718" t="s">
        <v>499</v>
      </c>
      <c r="D1718">
        <v>10</v>
      </c>
    </row>
    <row r="1719" spans="1:4" x14ac:dyDescent="0.25">
      <c r="A1719" t="s">
        <v>99</v>
      </c>
      <c r="B1719" t="s">
        <v>100</v>
      </c>
      <c r="C1719" t="s">
        <v>479</v>
      </c>
      <c r="D1719">
        <v>-0.03</v>
      </c>
    </row>
    <row r="1720" spans="1:4" x14ac:dyDescent="0.25">
      <c r="A1720" t="s">
        <v>99</v>
      </c>
      <c r="B1720" t="s">
        <v>100</v>
      </c>
      <c r="C1720" t="s">
        <v>481</v>
      </c>
      <c r="D1720">
        <v>-0.03</v>
      </c>
    </row>
    <row r="1721" spans="1:4" x14ac:dyDescent="0.25">
      <c r="A1721" t="s">
        <v>99</v>
      </c>
      <c r="B1721" t="s">
        <v>100</v>
      </c>
      <c r="C1721" t="s">
        <v>491</v>
      </c>
      <c r="D1721">
        <v>-0.03</v>
      </c>
    </row>
    <row r="1722" spans="1:4" x14ac:dyDescent="0.25">
      <c r="A1722" t="s">
        <v>99</v>
      </c>
      <c r="B1722" t="s">
        <v>100</v>
      </c>
      <c r="C1722" t="s">
        <v>492</v>
      </c>
      <c r="D1722">
        <v>-0.03</v>
      </c>
    </row>
    <row r="1723" spans="1:4" x14ac:dyDescent="0.25">
      <c r="A1723" t="s">
        <v>99</v>
      </c>
      <c r="B1723" t="s">
        <v>100</v>
      </c>
      <c r="C1723" t="s">
        <v>483</v>
      </c>
      <c r="D1723">
        <v>-0.03</v>
      </c>
    </row>
    <row r="1724" spans="1:4" x14ac:dyDescent="0.25">
      <c r="A1724" t="s">
        <v>99</v>
      </c>
      <c r="B1724" t="s">
        <v>100</v>
      </c>
      <c r="C1724" t="s">
        <v>493</v>
      </c>
      <c r="D1724">
        <v>-0.03</v>
      </c>
    </row>
    <row r="1725" spans="1:4" x14ac:dyDescent="0.25">
      <c r="A1725" t="s">
        <v>99</v>
      </c>
      <c r="B1725" t="s">
        <v>100</v>
      </c>
      <c r="C1725" t="s">
        <v>486</v>
      </c>
      <c r="D1725">
        <v>-0.03</v>
      </c>
    </row>
    <row r="1726" spans="1:4" x14ac:dyDescent="0.25">
      <c r="A1726" t="s">
        <v>99</v>
      </c>
      <c r="B1726" t="s">
        <v>100</v>
      </c>
      <c r="C1726" t="s">
        <v>487</v>
      </c>
      <c r="D1726">
        <v>-0.03</v>
      </c>
    </row>
    <row r="1727" spans="1:4" x14ac:dyDescent="0.25">
      <c r="A1727" t="s">
        <v>99</v>
      </c>
      <c r="B1727" t="s">
        <v>100</v>
      </c>
      <c r="C1727" t="s">
        <v>496</v>
      </c>
      <c r="D1727">
        <v>-0.03</v>
      </c>
    </row>
    <row r="1728" spans="1:4" x14ac:dyDescent="0.25">
      <c r="A1728" t="s">
        <v>99</v>
      </c>
      <c r="B1728" t="s">
        <v>100</v>
      </c>
      <c r="C1728" t="s">
        <v>499</v>
      </c>
      <c r="D1728">
        <v>-0.03</v>
      </c>
    </row>
    <row r="1729" spans="1:4" x14ac:dyDescent="0.25">
      <c r="A1729" t="s">
        <v>99</v>
      </c>
      <c r="B1729" t="s">
        <v>101</v>
      </c>
      <c r="C1729" t="s">
        <v>479</v>
      </c>
      <c r="D1729">
        <v>-8.9999999999999993E-3</v>
      </c>
    </row>
    <row r="1730" spans="1:4" x14ac:dyDescent="0.25">
      <c r="A1730" t="s">
        <v>99</v>
      </c>
      <c r="B1730" t="s">
        <v>101</v>
      </c>
      <c r="C1730" t="s">
        <v>481</v>
      </c>
      <c r="D1730">
        <v>-8.9999999999999993E-3</v>
      </c>
    </row>
    <row r="1731" spans="1:4" x14ac:dyDescent="0.25">
      <c r="A1731" t="s">
        <v>99</v>
      </c>
      <c r="B1731" t="s">
        <v>101</v>
      </c>
      <c r="C1731" t="s">
        <v>491</v>
      </c>
      <c r="D1731">
        <v>-8.9999999999999993E-3</v>
      </c>
    </row>
    <row r="1732" spans="1:4" x14ac:dyDescent="0.25">
      <c r="A1732" t="s">
        <v>99</v>
      </c>
      <c r="B1732" t="s">
        <v>101</v>
      </c>
      <c r="C1732" t="s">
        <v>492</v>
      </c>
      <c r="D1732">
        <v>-8.9999999999999993E-3</v>
      </c>
    </row>
    <row r="1733" spans="1:4" x14ac:dyDescent="0.25">
      <c r="A1733" t="s">
        <v>99</v>
      </c>
      <c r="B1733" t="s">
        <v>101</v>
      </c>
      <c r="C1733" t="s">
        <v>483</v>
      </c>
      <c r="D1733">
        <v>-8.9999999999999993E-3</v>
      </c>
    </row>
    <row r="1734" spans="1:4" x14ac:dyDescent="0.25">
      <c r="A1734" t="s">
        <v>99</v>
      </c>
      <c r="B1734" t="s">
        <v>101</v>
      </c>
      <c r="C1734" t="s">
        <v>493</v>
      </c>
      <c r="D1734">
        <v>-8.9999999999999993E-3</v>
      </c>
    </row>
    <row r="1735" spans="1:4" x14ac:dyDescent="0.25">
      <c r="A1735" t="s">
        <v>99</v>
      </c>
      <c r="B1735" t="s">
        <v>101</v>
      </c>
      <c r="C1735" t="s">
        <v>486</v>
      </c>
      <c r="D1735">
        <v>-8.9999999999999993E-3</v>
      </c>
    </row>
    <row r="1736" spans="1:4" x14ac:dyDescent="0.25">
      <c r="A1736" t="s">
        <v>99</v>
      </c>
      <c r="B1736" t="s">
        <v>101</v>
      </c>
      <c r="C1736" t="s">
        <v>487</v>
      </c>
      <c r="D1736">
        <v>-8.9999999999999993E-3</v>
      </c>
    </row>
    <row r="1737" spans="1:4" x14ac:dyDescent="0.25">
      <c r="A1737" t="s">
        <v>99</v>
      </c>
      <c r="B1737" t="s">
        <v>101</v>
      </c>
      <c r="C1737" t="s">
        <v>496</v>
      </c>
      <c r="D1737">
        <v>-8.9999999999999993E-3</v>
      </c>
    </row>
    <row r="1738" spans="1:4" x14ac:dyDescent="0.25">
      <c r="A1738" t="s">
        <v>99</v>
      </c>
      <c r="B1738" t="s">
        <v>101</v>
      </c>
      <c r="C1738" t="s">
        <v>499</v>
      </c>
      <c r="D1738">
        <v>-8.9999999999999993E-3</v>
      </c>
    </row>
    <row r="1739" spans="1:4" x14ac:dyDescent="0.25">
      <c r="A1739" t="s">
        <v>99</v>
      </c>
      <c r="B1739" t="s">
        <v>27</v>
      </c>
      <c r="C1739" t="s">
        <v>479</v>
      </c>
      <c r="D1739">
        <v>0.36599999999999999</v>
      </c>
    </row>
    <row r="1740" spans="1:4" x14ac:dyDescent="0.25">
      <c r="A1740" t="s">
        <v>99</v>
      </c>
      <c r="B1740" t="s">
        <v>27</v>
      </c>
      <c r="C1740" t="s">
        <v>481</v>
      </c>
      <c r="D1740">
        <v>0.36099999999999999</v>
      </c>
    </row>
    <row r="1741" spans="1:4" x14ac:dyDescent="0.25">
      <c r="A1741" t="s">
        <v>99</v>
      </c>
      <c r="B1741" t="s">
        <v>27</v>
      </c>
      <c r="C1741" t="s">
        <v>491</v>
      </c>
      <c r="D1741">
        <v>0.35499999999999998</v>
      </c>
    </row>
    <row r="1742" spans="1:4" x14ac:dyDescent="0.25">
      <c r="A1742" t="s">
        <v>99</v>
      </c>
      <c r="B1742" t="s">
        <v>27</v>
      </c>
      <c r="C1742" t="s">
        <v>492</v>
      </c>
      <c r="D1742">
        <v>0.33200000000000002</v>
      </c>
    </row>
    <row r="1743" spans="1:4" x14ac:dyDescent="0.25">
      <c r="A1743" t="s">
        <v>99</v>
      </c>
      <c r="B1743" t="s">
        <v>27</v>
      </c>
      <c r="C1743" t="s">
        <v>483</v>
      </c>
      <c r="D1743">
        <v>0.32500000000000001</v>
      </c>
    </row>
    <row r="1744" spans="1:4" x14ac:dyDescent="0.25">
      <c r="A1744" t="s">
        <v>99</v>
      </c>
      <c r="B1744" t="s">
        <v>27</v>
      </c>
      <c r="C1744" t="s">
        <v>493</v>
      </c>
      <c r="D1744">
        <v>0.309</v>
      </c>
    </row>
    <row r="1745" spans="1:4" x14ac:dyDescent="0.25">
      <c r="A1745" t="s">
        <v>99</v>
      </c>
      <c r="B1745" t="s">
        <v>27</v>
      </c>
      <c r="C1745" t="s">
        <v>486</v>
      </c>
      <c r="D1745">
        <v>0.30499999999999999</v>
      </c>
    </row>
    <row r="1746" spans="1:4" x14ac:dyDescent="0.25">
      <c r="A1746" t="s">
        <v>99</v>
      </c>
      <c r="B1746" t="s">
        <v>27</v>
      </c>
      <c r="C1746" t="s">
        <v>487</v>
      </c>
      <c r="D1746">
        <v>0.309</v>
      </c>
    </row>
    <row r="1747" spans="1:4" x14ac:dyDescent="0.25">
      <c r="A1747" t="s">
        <v>99</v>
      </c>
      <c r="B1747" t="s">
        <v>27</v>
      </c>
      <c r="C1747" t="s">
        <v>496</v>
      </c>
      <c r="D1747">
        <v>0.31</v>
      </c>
    </row>
    <row r="1748" spans="1:4" x14ac:dyDescent="0.25">
      <c r="A1748" t="s">
        <v>99</v>
      </c>
      <c r="B1748" t="s">
        <v>27</v>
      </c>
      <c r="C1748" t="s">
        <v>499</v>
      </c>
      <c r="D1748">
        <v>0.29099999999999998</v>
      </c>
    </row>
    <row r="1749" spans="1:4" x14ac:dyDescent="0.25">
      <c r="A1749" t="s">
        <v>99</v>
      </c>
      <c r="B1749" t="s">
        <v>29</v>
      </c>
      <c r="C1749" t="s">
        <v>479</v>
      </c>
      <c r="D1749">
        <v>0.25700000000000001</v>
      </c>
    </row>
    <row r="1750" spans="1:4" x14ac:dyDescent="0.25">
      <c r="A1750" t="s">
        <v>99</v>
      </c>
      <c r="B1750" t="s">
        <v>29</v>
      </c>
      <c r="C1750" t="s">
        <v>481</v>
      </c>
      <c r="D1750">
        <v>0.27300000000000002</v>
      </c>
    </row>
    <row r="1751" spans="1:4" x14ac:dyDescent="0.25">
      <c r="A1751" t="s">
        <v>99</v>
      </c>
      <c r="B1751" t="s">
        <v>29</v>
      </c>
      <c r="C1751" t="s">
        <v>491</v>
      </c>
      <c r="D1751">
        <v>0.28999999999999998</v>
      </c>
    </row>
    <row r="1752" spans="1:4" x14ac:dyDescent="0.25">
      <c r="A1752" t="s">
        <v>99</v>
      </c>
      <c r="B1752" t="s">
        <v>29</v>
      </c>
      <c r="C1752" t="s">
        <v>492</v>
      </c>
      <c r="D1752">
        <v>0.35599999999999998</v>
      </c>
    </row>
    <row r="1753" spans="1:4" x14ac:dyDescent="0.25">
      <c r="A1753" t="s">
        <v>99</v>
      </c>
      <c r="B1753" t="s">
        <v>29</v>
      </c>
      <c r="C1753" t="s">
        <v>483</v>
      </c>
      <c r="D1753">
        <v>0.376</v>
      </c>
    </row>
    <row r="1754" spans="1:4" x14ac:dyDescent="0.25">
      <c r="A1754" t="s">
        <v>99</v>
      </c>
      <c r="B1754" t="s">
        <v>29</v>
      </c>
      <c r="C1754" t="s">
        <v>493</v>
      </c>
      <c r="D1754">
        <v>0.42199999999999999</v>
      </c>
    </row>
    <row r="1755" spans="1:4" x14ac:dyDescent="0.25">
      <c r="A1755" t="s">
        <v>99</v>
      </c>
      <c r="B1755" t="s">
        <v>29</v>
      </c>
      <c r="C1755" t="s">
        <v>486</v>
      </c>
      <c r="D1755">
        <v>0.435</v>
      </c>
    </row>
    <row r="1756" spans="1:4" x14ac:dyDescent="0.25">
      <c r="A1756" t="s">
        <v>99</v>
      </c>
      <c r="B1756" t="s">
        <v>29</v>
      </c>
      <c r="C1756" t="s">
        <v>487</v>
      </c>
      <c r="D1756">
        <v>0.42199999999999999</v>
      </c>
    </row>
    <row r="1757" spans="1:4" x14ac:dyDescent="0.25">
      <c r="A1757" t="s">
        <v>99</v>
      </c>
      <c r="B1757" t="s">
        <v>29</v>
      </c>
      <c r="C1757" t="s">
        <v>496</v>
      </c>
      <c r="D1757">
        <v>0.42</v>
      </c>
    </row>
    <row r="1758" spans="1:4" x14ac:dyDescent="0.25">
      <c r="A1758" t="s">
        <v>99</v>
      </c>
      <c r="B1758" t="s">
        <v>29</v>
      </c>
      <c r="C1758" t="s">
        <v>499</v>
      </c>
      <c r="D1758">
        <v>0.47399999999999998</v>
      </c>
    </row>
    <row r="1759" spans="1:4" x14ac:dyDescent="0.25">
      <c r="A1759" t="s">
        <v>99</v>
      </c>
      <c r="B1759" t="s">
        <v>63</v>
      </c>
      <c r="C1759" t="s">
        <v>479</v>
      </c>
      <c r="D1759">
        <v>5.0999999999999997E-2</v>
      </c>
    </row>
    <row r="1760" spans="1:4" x14ac:dyDescent="0.25">
      <c r="A1760" t="s">
        <v>99</v>
      </c>
      <c r="B1760" t="s">
        <v>63</v>
      </c>
      <c r="C1760" t="s">
        <v>481</v>
      </c>
      <c r="D1760">
        <v>0.05</v>
      </c>
    </row>
    <row r="1761" spans="1:4" x14ac:dyDescent="0.25">
      <c r="A1761" t="s">
        <v>99</v>
      </c>
      <c r="B1761" t="s">
        <v>63</v>
      </c>
      <c r="C1761" t="s">
        <v>491</v>
      </c>
      <c r="D1761">
        <v>0.05</v>
      </c>
    </row>
    <row r="1762" spans="1:4" x14ac:dyDescent="0.25">
      <c r="A1762" t="s">
        <v>99</v>
      </c>
      <c r="B1762" t="s">
        <v>63</v>
      </c>
      <c r="C1762" t="s">
        <v>492</v>
      </c>
      <c r="D1762">
        <v>4.5999999999999999E-2</v>
      </c>
    </row>
    <row r="1763" spans="1:4" x14ac:dyDescent="0.25">
      <c r="A1763" t="s">
        <v>99</v>
      </c>
      <c r="B1763" t="s">
        <v>63</v>
      </c>
      <c r="C1763" t="s">
        <v>483</v>
      </c>
      <c r="D1763">
        <v>4.4999999999999998E-2</v>
      </c>
    </row>
    <row r="1764" spans="1:4" x14ac:dyDescent="0.25">
      <c r="A1764" t="s">
        <v>99</v>
      </c>
      <c r="B1764" t="s">
        <v>63</v>
      </c>
      <c r="C1764" t="s">
        <v>493</v>
      </c>
      <c r="D1764">
        <v>4.2999999999999997E-2</v>
      </c>
    </row>
    <row r="1765" spans="1:4" x14ac:dyDescent="0.25">
      <c r="A1765" t="s">
        <v>99</v>
      </c>
      <c r="B1765" t="s">
        <v>63</v>
      </c>
      <c r="C1765" t="s">
        <v>486</v>
      </c>
      <c r="D1765">
        <v>4.2999999999999997E-2</v>
      </c>
    </row>
    <row r="1766" spans="1:4" x14ac:dyDescent="0.25">
      <c r="A1766" t="s">
        <v>99</v>
      </c>
      <c r="B1766" t="s">
        <v>63</v>
      </c>
      <c r="C1766" t="s">
        <v>487</v>
      </c>
      <c r="D1766">
        <v>4.2999999999999997E-2</v>
      </c>
    </row>
    <row r="1767" spans="1:4" x14ac:dyDescent="0.25">
      <c r="A1767" t="s">
        <v>99</v>
      </c>
      <c r="B1767" t="s">
        <v>63</v>
      </c>
      <c r="C1767" t="s">
        <v>496</v>
      </c>
      <c r="D1767">
        <v>4.2999999999999997E-2</v>
      </c>
    </row>
    <row r="1768" spans="1:4" x14ac:dyDescent="0.25">
      <c r="A1768" t="s">
        <v>99</v>
      </c>
      <c r="B1768" t="s">
        <v>63</v>
      </c>
      <c r="C1768" t="s">
        <v>499</v>
      </c>
      <c r="D1768">
        <v>4.1000000000000002E-2</v>
      </c>
    </row>
    <row r="1769" spans="1:4" x14ac:dyDescent="0.25">
      <c r="A1769" t="s">
        <v>99</v>
      </c>
      <c r="B1769" t="s">
        <v>64</v>
      </c>
      <c r="C1769" t="s">
        <v>479</v>
      </c>
      <c r="D1769">
        <v>2.7E-2</v>
      </c>
    </row>
    <row r="1770" spans="1:4" x14ac:dyDescent="0.25">
      <c r="A1770" t="s">
        <v>99</v>
      </c>
      <c r="B1770" t="s">
        <v>64</v>
      </c>
      <c r="C1770" t="s">
        <v>481</v>
      </c>
      <c r="D1770">
        <v>2.7E-2</v>
      </c>
    </row>
    <row r="1771" spans="1:4" x14ac:dyDescent="0.25">
      <c r="A1771" t="s">
        <v>99</v>
      </c>
      <c r="B1771" t="s">
        <v>64</v>
      </c>
      <c r="C1771" t="s">
        <v>491</v>
      </c>
      <c r="D1771">
        <v>2.5999999999999999E-2</v>
      </c>
    </row>
    <row r="1772" spans="1:4" x14ac:dyDescent="0.25">
      <c r="A1772" t="s">
        <v>99</v>
      </c>
      <c r="B1772" t="s">
        <v>64</v>
      </c>
      <c r="C1772" t="s">
        <v>492</v>
      </c>
      <c r="D1772">
        <v>2.5000000000000001E-2</v>
      </c>
    </row>
    <row r="1773" spans="1:4" x14ac:dyDescent="0.25">
      <c r="A1773" t="s">
        <v>99</v>
      </c>
      <c r="B1773" t="s">
        <v>64</v>
      </c>
      <c r="C1773" t="s">
        <v>483</v>
      </c>
      <c r="D1773">
        <v>2.4E-2</v>
      </c>
    </row>
    <row r="1774" spans="1:4" x14ac:dyDescent="0.25">
      <c r="A1774" t="s">
        <v>99</v>
      </c>
      <c r="B1774" t="s">
        <v>64</v>
      </c>
      <c r="C1774" t="s">
        <v>493</v>
      </c>
      <c r="D1774">
        <v>2.3E-2</v>
      </c>
    </row>
    <row r="1775" spans="1:4" x14ac:dyDescent="0.25">
      <c r="A1775" t="s">
        <v>99</v>
      </c>
      <c r="B1775" t="s">
        <v>64</v>
      </c>
      <c r="C1775" t="s">
        <v>486</v>
      </c>
      <c r="D1775">
        <v>2.1999999999999999E-2</v>
      </c>
    </row>
    <row r="1776" spans="1:4" x14ac:dyDescent="0.25">
      <c r="A1776" t="s">
        <v>99</v>
      </c>
      <c r="B1776" t="s">
        <v>64</v>
      </c>
      <c r="C1776" t="s">
        <v>487</v>
      </c>
      <c r="D1776">
        <v>2.3E-2</v>
      </c>
    </row>
    <row r="1777" spans="1:4" x14ac:dyDescent="0.25">
      <c r="A1777" t="s">
        <v>99</v>
      </c>
      <c r="B1777" t="s">
        <v>64</v>
      </c>
      <c r="C1777" t="s">
        <v>496</v>
      </c>
      <c r="D1777">
        <v>2.3E-2</v>
      </c>
    </row>
    <row r="1778" spans="1:4" x14ac:dyDescent="0.25">
      <c r="A1778" t="s">
        <v>99</v>
      </c>
      <c r="B1778" t="s">
        <v>64</v>
      </c>
      <c r="C1778" t="s">
        <v>499</v>
      </c>
      <c r="D1778">
        <v>2.1999999999999999E-2</v>
      </c>
    </row>
    <row r="1779" spans="1:4" x14ac:dyDescent="0.25">
      <c r="A1779" t="s">
        <v>99</v>
      </c>
      <c r="B1779" t="s">
        <v>24</v>
      </c>
      <c r="C1779" t="s">
        <v>479</v>
      </c>
      <c r="D1779">
        <v>0.26800000000000002</v>
      </c>
    </row>
    <row r="1780" spans="1:4" x14ac:dyDescent="0.25">
      <c r="A1780" t="s">
        <v>99</v>
      </c>
      <c r="B1780" t="s">
        <v>24</v>
      </c>
      <c r="C1780" t="s">
        <v>481</v>
      </c>
      <c r="D1780">
        <v>0.26600000000000001</v>
      </c>
    </row>
    <row r="1781" spans="1:4" x14ac:dyDescent="0.25">
      <c r="A1781" t="s">
        <v>99</v>
      </c>
      <c r="B1781" t="s">
        <v>24</v>
      </c>
      <c r="C1781" t="s">
        <v>491</v>
      </c>
      <c r="D1781">
        <v>0.26600000000000001</v>
      </c>
    </row>
    <row r="1782" spans="1:4" x14ac:dyDescent="0.25">
      <c r="A1782" t="s">
        <v>99</v>
      </c>
      <c r="B1782" t="s">
        <v>24</v>
      </c>
      <c r="C1782" t="s">
        <v>492</v>
      </c>
      <c r="D1782">
        <v>0.26100000000000001</v>
      </c>
    </row>
    <row r="1783" spans="1:4" x14ac:dyDescent="0.25">
      <c r="A1783" t="s">
        <v>99</v>
      </c>
      <c r="B1783" t="s">
        <v>24</v>
      </c>
      <c r="C1783" t="s">
        <v>483</v>
      </c>
      <c r="D1783">
        <v>0.25600000000000001</v>
      </c>
    </row>
    <row r="1784" spans="1:4" x14ac:dyDescent="0.25">
      <c r="A1784" t="s">
        <v>99</v>
      </c>
      <c r="B1784" t="s">
        <v>24</v>
      </c>
      <c r="C1784" t="s">
        <v>493</v>
      </c>
      <c r="D1784">
        <v>0.249</v>
      </c>
    </row>
    <row r="1785" spans="1:4" x14ac:dyDescent="0.25">
      <c r="A1785" t="s">
        <v>99</v>
      </c>
      <c r="B1785" t="s">
        <v>24</v>
      </c>
      <c r="C1785" t="s">
        <v>486</v>
      </c>
      <c r="D1785">
        <v>0.247</v>
      </c>
    </row>
    <row r="1786" spans="1:4" x14ac:dyDescent="0.25">
      <c r="A1786" t="s">
        <v>99</v>
      </c>
      <c r="B1786" t="s">
        <v>24</v>
      </c>
      <c r="C1786" t="s">
        <v>487</v>
      </c>
      <c r="D1786">
        <v>0.249</v>
      </c>
    </row>
    <row r="1787" spans="1:4" x14ac:dyDescent="0.25">
      <c r="A1787" t="s">
        <v>99</v>
      </c>
      <c r="B1787" t="s">
        <v>24</v>
      </c>
      <c r="C1787" t="s">
        <v>496</v>
      </c>
      <c r="D1787">
        <v>0.251</v>
      </c>
    </row>
    <row r="1788" spans="1:4" x14ac:dyDescent="0.25">
      <c r="A1788" t="s">
        <v>99</v>
      </c>
      <c r="B1788" t="s">
        <v>24</v>
      </c>
      <c r="C1788" t="s">
        <v>499</v>
      </c>
      <c r="D1788">
        <v>0.245</v>
      </c>
    </row>
    <row r="1789" spans="1:4" x14ac:dyDescent="0.25">
      <c r="A1789" t="s">
        <v>99</v>
      </c>
      <c r="B1789" t="s">
        <v>5</v>
      </c>
      <c r="C1789" t="s">
        <v>479</v>
      </c>
      <c r="D1789">
        <v>0.434</v>
      </c>
    </row>
    <row r="1790" spans="1:4" x14ac:dyDescent="0.25">
      <c r="A1790" t="s">
        <v>99</v>
      </c>
      <c r="B1790" t="s">
        <v>5</v>
      </c>
      <c r="C1790" t="s">
        <v>481</v>
      </c>
      <c r="D1790">
        <v>0.41699999999999998</v>
      </c>
    </row>
    <row r="1791" spans="1:4" x14ac:dyDescent="0.25">
      <c r="A1791" t="s">
        <v>99</v>
      </c>
      <c r="B1791" t="s">
        <v>5</v>
      </c>
      <c r="C1791" t="s">
        <v>491</v>
      </c>
      <c r="D1791">
        <v>0.41</v>
      </c>
    </row>
    <row r="1792" spans="1:4" x14ac:dyDescent="0.25">
      <c r="A1792" t="s">
        <v>99</v>
      </c>
      <c r="B1792" t="s">
        <v>5</v>
      </c>
      <c r="C1792" t="s">
        <v>492</v>
      </c>
      <c r="D1792">
        <v>0.39200000000000002</v>
      </c>
    </row>
    <row r="1793" spans="1:4" x14ac:dyDescent="0.25">
      <c r="A1793" t="s">
        <v>99</v>
      </c>
      <c r="B1793" t="s">
        <v>5</v>
      </c>
      <c r="C1793" t="s">
        <v>483</v>
      </c>
      <c r="D1793">
        <v>0.372</v>
      </c>
    </row>
    <row r="1794" spans="1:4" x14ac:dyDescent="0.25">
      <c r="A1794" t="s">
        <v>99</v>
      </c>
      <c r="B1794" t="s">
        <v>5</v>
      </c>
      <c r="C1794" t="s">
        <v>493</v>
      </c>
      <c r="D1794">
        <v>0.35399999999999998</v>
      </c>
    </row>
    <row r="1795" spans="1:4" x14ac:dyDescent="0.25">
      <c r="A1795" t="s">
        <v>99</v>
      </c>
      <c r="B1795" t="s">
        <v>5</v>
      </c>
      <c r="C1795" t="s">
        <v>486</v>
      </c>
      <c r="D1795">
        <v>0.34699999999999998</v>
      </c>
    </row>
    <row r="1796" spans="1:4" x14ac:dyDescent="0.25">
      <c r="A1796" t="s">
        <v>99</v>
      </c>
      <c r="B1796" t="s">
        <v>5</v>
      </c>
      <c r="C1796" t="s">
        <v>487</v>
      </c>
      <c r="D1796">
        <v>0.34799999999999998</v>
      </c>
    </row>
    <row r="1797" spans="1:4" x14ac:dyDescent="0.25">
      <c r="A1797" t="s">
        <v>99</v>
      </c>
      <c r="B1797" t="s">
        <v>5</v>
      </c>
      <c r="C1797" t="s">
        <v>496</v>
      </c>
      <c r="D1797">
        <v>0.34799999999999998</v>
      </c>
    </row>
    <row r="1798" spans="1:4" x14ac:dyDescent="0.25">
      <c r="A1798" t="s">
        <v>99</v>
      </c>
      <c r="B1798" t="s">
        <v>5</v>
      </c>
      <c r="C1798" t="s">
        <v>499</v>
      </c>
      <c r="D1798">
        <v>0.33500000000000002</v>
      </c>
    </row>
    <row r="1799" spans="1:4" x14ac:dyDescent="0.25">
      <c r="A1799" t="s">
        <v>99</v>
      </c>
      <c r="B1799" t="s">
        <v>22</v>
      </c>
      <c r="C1799" t="s">
        <v>479</v>
      </c>
      <c r="D1799">
        <v>1.4E-2</v>
      </c>
    </row>
    <row r="1800" spans="1:4" x14ac:dyDescent="0.25">
      <c r="A1800" t="s">
        <v>99</v>
      </c>
      <c r="B1800" t="s">
        <v>22</v>
      </c>
      <c r="C1800" t="s">
        <v>481</v>
      </c>
      <c r="D1800">
        <v>1.4E-2</v>
      </c>
    </row>
    <row r="1801" spans="1:4" x14ac:dyDescent="0.25">
      <c r="A1801" t="s">
        <v>99</v>
      </c>
      <c r="B1801" t="s">
        <v>22</v>
      </c>
      <c r="C1801" t="s">
        <v>491</v>
      </c>
      <c r="D1801">
        <v>1.4E-2</v>
      </c>
    </row>
    <row r="1802" spans="1:4" x14ac:dyDescent="0.25">
      <c r="A1802" t="s">
        <v>99</v>
      </c>
      <c r="B1802" t="s">
        <v>22</v>
      </c>
      <c r="C1802" t="s">
        <v>492</v>
      </c>
      <c r="D1802">
        <v>1.4E-2</v>
      </c>
    </row>
    <row r="1803" spans="1:4" x14ac:dyDescent="0.25">
      <c r="A1803" t="s">
        <v>99</v>
      </c>
      <c r="B1803" t="s">
        <v>22</v>
      </c>
      <c r="C1803" t="s">
        <v>483</v>
      </c>
      <c r="D1803">
        <v>1.4E-2</v>
      </c>
    </row>
    <row r="1804" spans="1:4" x14ac:dyDescent="0.25">
      <c r="A1804" t="s">
        <v>99</v>
      </c>
      <c r="B1804" t="s">
        <v>22</v>
      </c>
      <c r="C1804" t="s">
        <v>493</v>
      </c>
      <c r="D1804">
        <v>1.4E-2</v>
      </c>
    </row>
    <row r="1805" spans="1:4" x14ac:dyDescent="0.25">
      <c r="A1805" t="s">
        <v>99</v>
      </c>
      <c r="B1805" t="s">
        <v>22</v>
      </c>
      <c r="C1805" t="s">
        <v>486</v>
      </c>
      <c r="D1805">
        <v>1.4E-2</v>
      </c>
    </row>
    <row r="1806" spans="1:4" x14ac:dyDescent="0.25">
      <c r="A1806" t="s">
        <v>99</v>
      </c>
      <c r="B1806" t="s">
        <v>22</v>
      </c>
      <c r="C1806" t="s">
        <v>487</v>
      </c>
      <c r="D1806">
        <v>1.4E-2</v>
      </c>
    </row>
    <row r="1807" spans="1:4" x14ac:dyDescent="0.25">
      <c r="A1807" t="s">
        <v>99</v>
      </c>
      <c r="B1807" t="s">
        <v>22</v>
      </c>
      <c r="C1807" t="s">
        <v>496</v>
      </c>
      <c r="D1807">
        <v>1.4E-2</v>
      </c>
    </row>
    <row r="1808" spans="1:4" x14ac:dyDescent="0.25">
      <c r="A1808" t="s">
        <v>99</v>
      </c>
      <c r="B1808" t="s">
        <v>22</v>
      </c>
      <c r="C1808" t="s">
        <v>499</v>
      </c>
      <c r="D1808">
        <v>1.4E-2</v>
      </c>
    </row>
    <row r="1809" spans="1:4" x14ac:dyDescent="0.25">
      <c r="A1809" t="s">
        <v>99</v>
      </c>
      <c r="B1809" t="s">
        <v>102</v>
      </c>
      <c r="C1809" t="s">
        <v>479</v>
      </c>
      <c r="D1809">
        <v>1</v>
      </c>
    </row>
    <row r="1810" spans="1:4" x14ac:dyDescent="0.25">
      <c r="A1810" t="s">
        <v>99</v>
      </c>
      <c r="B1810" t="s">
        <v>102</v>
      </c>
      <c r="C1810" t="s">
        <v>481</v>
      </c>
      <c r="D1810">
        <v>1</v>
      </c>
    </row>
    <row r="1811" spans="1:4" x14ac:dyDescent="0.25">
      <c r="A1811" t="s">
        <v>99</v>
      </c>
      <c r="B1811" t="s">
        <v>102</v>
      </c>
      <c r="C1811" t="s">
        <v>491</v>
      </c>
      <c r="D1811">
        <v>1</v>
      </c>
    </row>
    <row r="1812" spans="1:4" x14ac:dyDescent="0.25">
      <c r="A1812" t="s">
        <v>99</v>
      </c>
      <c r="B1812" t="s">
        <v>102</v>
      </c>
      <c r="C1812" t="s">
        <v>492</v>
      </c>
      <c r="D1812">
        <v>1</v>
      </c>
    </row>
    <row r="1813" spans="1:4" x14ac:dyDescent="0.25">
      <c r="A1813" t="s">
        <v>99</v>
      </c>
      <c r="B1813" t="s">
        <v>102</v>
      </c>
      <c r="C1813" t="s">
        <v>483</v>
      </c>
      <c r="D1813">
        <v>1</v>
      </c>
    </row>
    <row r="1814" spans="1:4" x14ac:dyDescent="0.25">
      <c r="A1814" t="s">
        <v>99</v>
      </c>
      <c r="B1814" t="s">
        <v>102</v>
      </c>
      <c r="C1814" t="s">
        <v>493</v>
      </c>
      <c r="D1814">
        <v>1</v>
      </c>
    </row>
    <row r="1815" spans="1:4" x14ac:dyDescent="0.25">
      <c r="A1815" t="s">
        <v>99</v>
      </c>
      <c r="B1815" t="s">
        <v>102</v>
      </c>
      <c r="C1815" t="s">
        <v>486</v>
      </c>
      <c r="D1815">
        <v>1</v>
      </c>
    </row>
    <row r="1816" spans="1:4" x14ac:dyDescent="0.25">
      <c r="A1816" t="s">
        <v>99</v>
      </c>
      <c r="B1816" t="s">
        <v>102</v>
      </c>
      <c r="C1816" t="s">
        <v>487</v>
      </c>
      <c r="D1816">
        <v>1</v>
      </c>
    </row>
    <row r="1817" spans="1:4" x14ac:dyDescent="0.25">
      <c r="A1817" t="s">
        <v>99</v>
      </c>
      <c r="B1817" t="s">
        <v>102</v>
      </c>
      <c r="C1817" t="s">
        <v>496</v>
      </c>
      <c r="D1817">
        <v>1</v>
      </c>
    </row>
    <row r="1818" spans="1:4" x14ac:dyDescent="0.25">
      <c r="A1818" t="s">
        <v>99</v>
      </c>
      <c r="B1818" t="s">
        <v>102</v>
      </c>
      <c r="C1818" t="s">
        <v>499</v>
      </c>
      <c r="D1818">
        <v>1</v>
      </c>
    </row>
    <row r="1819" spans="1:4" x14ac:dyDescent="0.25">
      <c r="A1819" t="s">
        <v>99</v>
      </c>
      <c r="B1819" t="s">
        <v>615</v>
      </c>
      <c r="C1819" t="s">
        <v>479</v>
      </c>
      <c r="D1819">
        <v>4.0000000000000002E-4</v>
      </c>
    </row>
    <row r="1820" spans="1:4" x14ac:dyDescent="0.25">
      <c r="A1820" t="s">
        <v>99</v>
      </c>
      <c r="B1820" t="s">
        <v>615</v>
      </c>
      <c r="C1820" t="s">
        <v>481</v>
      </c>
      <c r="D1820">
        <v>4.0000000000000002E-4</v>
      </c>
    </row>
    <row r="1821" spans="1:4" x14ac:dyDescent="0.25">
      <c r="A1821" t="s">
        <v>99</v>
      </c>
      <c r="B1821" t="s">
        <v>615</v>
      </c>
      <c r="C1821" t="s">
        <v>491</v>
      </c>
      <c r="D1821">
        <v>4.0000000000000002E-4</v>
      </c>
    </row>
    <row r="1822" spans="1:4" x14ac:dyDescent="0.25">
      <c r="A1822" t="s">
        <v>99</v>
      </c>
      <c r="B1822" t="s">
        <v>615</v>
      </c>
      <c r="C1822" t="s">
        <v>492</v>
      </c>
      <c r="D1822">
        <v>4.0000000000000002E-4</v>
      </c>
    </row>
    <row r="1823" spans="1:4" x14ac:dyDescent="0.25">
      <c r="A1823" t="s">
        <v>99</v>
      </c>
      <c r="B1823" t="s">
        <v>615</v>
      </c>
      <c r="C1823" t="s">
        <v>483</v>
      </c>
      <c r="D1823">
        <v>4.0000000000000002E-4</v>
      </c>
    </row>
    <row r="1824" spans="1:4" x14ac:dyDescent="0.25">
      <c r="A1824" t="s">
        <v>99</v>
      </c>
      <c r="B1824" t="s">
        <v>615</v>
      </c>
      <c r="C1824" t="s">
        <v>493</v>
      </c>
      <c r="D1824">
        <v>5.0000000000000001E-4</v>
      </c>
    </row>
    <row r="1825" spans="1:4" x14ac:dyDescent="0.25">
      <c r="A1825" t="s">
        <v>99</v>
      </c>
      <c r="B1825" t="s">
        <v>615</v>
      </c>
      <c r="C1825" t="s">
        <v>486</v>
      </c>
      <c r="D1825">
        <v>5.0000000000000001E-4</v>
      </c>
    </row>
    <row r="1826" spans="1:4" x14ac:dyDescent="0.25">
      <c r="A1826" t="s">
        <v>99</v>
      </c>
      <c r="B1826" t="s">
        <v>615</v>
      </c>
      <c r="C1826" t="s">
        <v>487</v>
      </c>
      <c r="D1826">
        <v>4.0000000000000002E-4</v>
      </c>
    </row>
    <row r="1827" spans="1:4" x14ac:dyDescent="0.25">
      <c r="A1827" t="s">
        <v>99</v>
      </c>
      <c r="B1827" t="s">
        <v>615</v>
      </c>
      <c r="C1827" t="s">
        <v>496</v>
      </c>
      <c r="D1827">
        <v>4.0000000000000002E-4</v>
      </c>
    </row>
    <row r="1828" spans="1:4" x14ac:dyDescent="0.25">
      <c r="A1828" t="s">
        <v>99</v>
      </c>
      <c r="B1828" t="s">
        <v>615</v>
      </c>
      <c r="C1828" t="s">
        <v>499</v>
      </c>
      <c r="D1828">
        <v>5.0000000000000001E-4</v>
      </c>
    </row>
    <row r="1829" spans="1:4" x14ac:dyDescent="0.25">
      <c r="A1829" t="s">
        <v>99</v>
      </c>
      <c r="B1829" t="s">
        <v>67</v>
      </c>
      <c r="C1829" t="s">
        <v>479</v>
      </c>
      <c r="D1829">
        <v>6.7000000000000004E-2</v>
      </c>
    </row>
    <row r="1830" spans="1:4" x14ac:dyDescent="0.25">
      <c r="A1830" t="s">
        <v>99</v>
      </c>
      <c r="B1830" t="s">
        <v>67</v>
      </c>
      <c r="C1830" t="s">
        <v>481</v>
      </c>
      <c r="D1830">
        <v>6.7000000000000004E-2</v>
      </c>
    </row>
    <row r="1831" spans="1:4" x14ac:dyDescent="0.25">
      <c r="A1831" t="s">
        <v>99</v>
      </c>
      <c r="B1831" t="s">
        <v>67</v>
      </c>
      <c r="C1831" t="s">
        <v>491</v>
      </c>
      <c r="D1831">
        <v>6.7000000000000004E-2</v>
      </c>
    </row>
    <row r="1832" spans="1:4" x14ac:dyDescent="0.25">
      <c r="A1832" t="s">
        <v>99</v>
      </c>
      <c r="B1832" t="s">
        <v>67</v>
      </c>
      <c r="C1832" t="s">
        <v>492</v>
      </c>
      <c r="D1832">
        <v>6.7000000000000004E-2</v>
      </c>
    </row>
    <row r="1833" spans="1:4" x14ac:dyDescent="0.25">
      <c r="A1833" t="s">
        <v>99</v>
      </c>
      <c r="B1833" t="s">
        <v>67</v>
      </c>
      <c r="C1833" t="s">
        <v>483</v>
      </c>
      <c r="D1833">
        <v>6.7000000000000004E-2</v>
      </c>
    </row>
    <row r="1834" spans="1:4" x14ac:dyDescent="0.25">
      <c r="A1834" t="s">
        <v>99</v>
      </c>
      <c r="B1834" t="s">
        <v>67</v>
      </c>
      <c r="C1834" t="s">
        <v>493</v>
      </c>
      <c r="D1834">
        <v>6.7000000000000004E-2</v>
      </c>
    </row>
    <row r="1835" spans="1:4" x14ac:dyDescent="0.25">
      <c r="A1835" t="s">
        <v>99</v>
      </c>
      <c r="B1835" t="s">
        <v>67</v>
      </c>
      <c r="C1835" t="s">
        <v>486</v>
      </c>
      <c r="D1835">
        <v>6.7000000000000004E-2</v>
      </c>
    </row>
    <row r="1836" spans="1:4" x14ac:dyDescent="0.25">
      <c r="A1836" t="s">
        <v>99</v>
      </c>
      <c r="B1836" t="s">
        <v>67</v>
      </c>
      <c r="C1836" t="s">
        <v>487</v>
      </c>
      <c r="D1836">
        <v>6.7000000000000004E-2</v>
      </c>
    </row>
    <row r="1837" spans="1:4" x14ac:dyDescent="0.25">
      <c r="A1837" t="s">
        <v>99</v>
      </c>
      <c r="B1837" t="s">
        <v>67</v>
      </c>
      <c r="C1837" t="s">
        <v>496</v>
      </c>
      <c r="D1837">
        <v>6.7000000000000004E-2</v>
      </c>
    </row>
    <row r="1838" spans="1:4" x14ac:dyDescent="0.25">
      <c r="A1838" t="s">
        <v>99</v>
      </c>
      <c r="B1838" t="s">
        <v>67</v>
      </c>
      <c r="C1838" t="s">
        <v>499</v>
      </c>
      <c r="D1838">
        <v>6.7000000000000004E-2</v>
      </c>
    </row>
    <row r="1839" spans="1:4" x14ac:dyDescent="0.25">
      <c r="A1839" t="s">
        <v>103</v>
      </c>
      <c r="B1839" t="s">
        <v>88</v>
      </c>
      <c r="C1839" t="s">
        <v>479</v>
      </c>
      <c r="D1839">
        <v>-8.3000000000000004E-2</v>
      </c>
    </row>
    <row r="1840" spans="1:4" x14ac:dyDescent="0.25">
      <c r="A1840" t="s">
        <v>103</v>
      </c>
      <c r="B1840" t="s">
        <v>88</v>
      </c>
      <c r="C1840" t="s">
        <v>481</v>
      </c>
      <c r="D1840">
        <v>-8.3000000000000004E-2</v>
      </c>
    </row>
    <row r="1841" spans="1:4" x14ac:dyDescent="0.25">
      <c r="A1841" t="s">
        <v>103</v>
      </c>
      <c r="B1841" t="s">
        <v>88</v>
      </c>
      <c r="C1841" t="s">
        <v>491</v>
      </c>
      <c r="D1841">
        <v>-8.3000000000000004E-2</v>
      </c>
    </row>
    <row r="1842" spans="1:4" x14ac:dyDescent="0.25">
      <c r="A1842" t="s">
        <v>103</v>
      </c>
      <c r="B1842" t="s">
        <v>88</v>
      </c>
      <c r="C1842" t="s">
        <v>492</v>
      </c>
      <c r="D1842">
        <v>-8.3000000000000004E-2</v>
      </c>
    </row>
    <row r="1843" spans="1:4" x14ac:dyDescent="0.25">
      <c r="A1843" t="s">
        <v>103</v>
      </c>
      <c r="B1843" t="s">
        <v>88</v>
      </c>
      <c r="C1843" t="s">
        <v>483</v>
      </c>
      <c r="D1843">
        <v>-8.3000000000000004E-2</v>
      </c>
    </row>
    <row r="1844" spans="1:4" x14ac:dyDescent="0.25">
      <c r="A1844" t="s">
        <v>103</v>
      </c>
      <c r="B1844" t="s">
        <v>88</v>
      </c>
      <c r="C1844" t="s">
        <v>493</v>
      </c>
      <c r="D1844">
        <v>-8.3000000000000004E-2</v>
      </c>
    </row>
    <row r="1845" spans="1:4" x14ac:dyDescent="0.25">
      <c r="A1845" t="s">
        <v>103</v>
      </c>
      <c r="B1845" t="s">
        <v>88</v>
      </c>
      <c r="C1845" t="s">
        <v>486</v>
      </c>
      <c r="D1845">
        <v>-8.3000000000000004E-2</v>
      </c>
    </row>
    <row r="1846" spans="1:4" x14ac:dyDescent="0.25">
      <c r="A1846" t="s">
        <v>103</v>
      </c>
      <c r="B1846" t="s">
        <v>88</v>
      </c>
      <c r="C1846" t="s">
        <v>487</v>
      </c>
      <c r="D1846">
        <v>-8.3000000000000004E-2</v>
      </c>
    </row>
    <row r="1847" spans="1:4" x14ac:dyDescent="0.25">
      <c r="A1847" t="s">
        <v>103</v>
      </c>
      <c r="B1847" t="s">
        <v>88</v>
      </c>
      <c r="C1847" t="s">
        <v>496</v>
      </c>
      <c r="D1847">
        <v>-8.3000000000000004E-2</v>
      </c>
    </row>
    <row r="1848" spans="1:4" x14ac:dyDescent="0.25">
      <c r="A1848" t="s">
        <v>103</v>
      </c>
      <c r="B1848" t="s">
        <v>88</v>
      </c>
      <c r="C1848" t="s">
        <v>499</v>
      </c>
      <c r="D1848">
        <v>-8.3000000000000004E-2</v>
      </c>
    </row>
    <row r="1849" spans="1:4" x14ac:dyDescent="0.25">
      <c r="A1849" t="s">
        <v>103</v>
      </c>
      <c r="B1849" t="s">
        <v>96</v>
      </c>
      <c r="C1849" t="s">
        <v>479</v>
      </c>
      <c r="D1849">
        <v>1</v>
      </c>
    </row>
    <row r="1850" spans="1:4" x14ac:dyDescent="0.25">
      <c r="A1850" t="s">
        <v>103</v>
      </c>
      <c r="B1850" t="s">
        <v>96</v>
      </c>
      <c r="C1850" t="s">
        <v>481</v>
      </c>
      <c r="D1850">
        <v>1</v>
      </c>
    </row>
    <row r="1851" spans="1:4" x14ac:dyDescent="0.25">
      <c r="A1851" t="s">
        <v>103</v>
      </c>
      <c r="B1851" t="s">
        <v>96</v>
      </c>
      <c r="C1851" t="s">
        <v>491</v>
      </c>
      <c r="D1851">
        <v>1</v>
      </c>
    </row>
    <row r="1852" spans="1:4" x14ac:dyDescent="0.25">
      <c r="A1852" t="s">
        <v>103</v>
      </c>
      <c r="B1852" t="s">
        <v>96</v>
      </c>
      <c r="C1852" t="s">
        <v>492</v>
      </c>
      <c r="D1852">
        <v>1</v>
      </c>
    </row>
    <row r="1853" spans="1:4" x14ac:dyDescent="0.25">
      <c r="A1853" t="s">
        <v>103</v>
      </c>
      <c r="B1853" t="s">
        <v>96</v>
      </c>
      <c r="C1853" t="s">
        <v>483</v>
      </c>
      <c r="D1853">
        <v>1</v>
      </c>
    </row>
    <row r="1854" spans="1:4" x14ac:dyDescent="0.25">
      <c r="A1854" t="s">
        <v>103</v>
      </c>
      <c r="B1854" t="s">
        <v>96</v>
      </c>
      <c r="C1854" t="s">
        <v>493</v>
      </c>
      <c r="D1854">
        <v>1</v>
      </c>
    </row>
    <row r="1855" spans="1:4" x14ac:dyDescent="0.25">
      <c r="A1855" t="s">
        <v>103</v>
      </c>
      <c r="B1855" t="s">
        <v>96</v>
      </c>
      <c r="C1855" t="s">
        <v>486</v>
      </c>
      <c r="D1855">
        <v>1</v>
      </c>
    </row>
    <row r="1856" spans="1:4" x14ac:dyDescent="0.25">
      <c r="A1856" t="s">
        <v>103</v>
      </c>
      <c r="B1856" t="s">
        <v>96</v>
      </c>
      <c r="C1856" t="s">
        <v>487</v>
      </c>
      <c r="D1856">
        <v>1</v>
      </c>
    </row>
    <row r="1857" spans="1:4" x14ac:dyDescent="0.25">
      <c r="A1857" t="s">
        <v>103</v>
      </c>
      <c r="B1857" t="s">
        <v>96</v>
      </c>
      <c r="C1857" t="s">
        <v>496</v>
      </c>
      <c r="D1857">
        <v>1</v>
      </c>
    </row>
    <row r="1858" spans="1:4" x14ac:dyDescent="0.25">
      <c r="A1858" t="s">
        <v>103</v>
      </c>
      <c r="B1858" t="s">
        <v>96</v>
      </c>
      <c r="C1858" t="s">
        <v>499</v>
      </c>
      <c r="D1858">
        <v>1</v>
      </c>
    </row>
    <row r="1859" spans="1:4" x14ac:dyDescent="0.25">
      <c r="A1859" t="s">
        <v>103</v>
      </c>
      <c r="B1859" t="s">
        <v>63</v>
      </c>
      <c r="C1859" t="s">
        <v>479</v>
      </c>
      <c r="D1859">
        <v>0.23100000000000001</v>
      </c>
    </row>
    <row r="1860" spans="1:4" x14ac:dyDescent="0.25">
      <c r="A1860" t="s">
        <v>103</v>
      </c>
      <c r="B1860" t="s">
        <v>63</v>
      </c>
      <c r="C1860" t="s">
        <v>481</v>
      </c>
      <c r="D1860">
        <v>0.23100000000000001</v>
      </c>
    </row>
    <row r="1861" spans="1:4" x14ac:dyDescent="0.25">
      <c r="A1861" t="s">
        <v>103</v>
      </c>
      <c r="B1861" t="s">
        <v>63</v>
      </c>
      <c r="C1861" t="s">
        <v>491</v>
      </c>
      <c r="D1861">
        <v>0.23100000000000001</v>
      </c>
    </row>
    <row r="1862" spans="1:4" x14ac:dyDescent="0.25">
      <c r="A1862" t="s">
        <v>103</v>
      </c>
      <c r="B1862" t="s">
        <v>63</v>
      </c>
      <c r="C1862" t="s">
        <v>492</v>
      </c>
      <c r="D1862">
        <v>0.23100000000000001</v>
      </c>
    </row>
    <row r="1863" spans="1:4" x14ac:dyDescent="0.25">
      <c r="A1863" t="s">
        <v>103</v>
      </c>
      <c r="B1863" t="s">
        <v>63</v>
      </c>
      <c r="C1863" t="s">
        <v>483</v>
      </c>
      <c r="D1863">
        <v>0.23100000000000001</v>
      </c>
    </row>
    <row r="1864" spans="1:4" x14ac:dyDescent="0.25">
      <c r="A1864" t="s">
        <v>103</v>
      </c>
      <c r="B1864" t="s">
        <v>63</v>
      </c>
      <c r="C1864" t="s">
        <v>493</v>
      </c>
      <c r="D1864">
        <v>0.23100000000000001</v>
      </c>
    </row>
    <row r="1865" spans="1:4" x14ac:dyDescent="0.25">
      <c r="A1865" t="s">
        <v>103</v>
      </c>
      <c r="B1865" t="s">
        <v>63</v>
      </c>
      <c r="C1865" t="s">
        <v>486</v>
      </c>
      <c r="D1865">
        <v>0.23100000000000001</v>
      </c>
    </row>
    <row r="1866" spans="1:4" x14ac:dyDescent="0.25">
      <c r="A1866" t="s">
        <v>103</v>
      </c>
      <c r="B1866" t="s">
        <v>63</v>
      </c>
      <c r="C1866" t="s">
        <v>487</v>
      </c>
      <c r="D1866">
        <v>0.23100000000000001</v>
      </c>
    </row>
    <row r="1867" spans="1:4" x14ac:dyDescent="0.25">
      <c r="A1867" t="s">
        <v>103</v>
      </c>
      <c r="B1867" t="s">
        <v>63</v>
      </c>
      <c r="C1867" t="s">
        <v>496</v>
      </c>
      <c r="D1867">
        <v>0.23100000000000001</v>
      </c>
    </row>
    <row r="1868" spans="1:4" x14ac:dyDescent="0.25">
      <c r="A1868" t="s">
        <v>103</v>
      </c>
      <c r="B1868" t="s">
        <v>63</v>
      </c>
      <c r="C1868" t="s">
        <v>499</v>
      </c>
      <c r="D1868">
        <v>0.23100000000000001</v>
      </c>
    </row>
    <row r="1869" spans="1:4" x14ac:dyDescent="0.25">
      <c r="A1869" t="s">
        <v>103</v>
      </c>
      <c r="B1869" t="s">
        <v>64</v>
      </c>
      <c r="C1869" t="s">
        <v>479</v>
      </c>
      <c r="D1869">
        <v>0.17299999999999999</v>
      </c>
    </row>
    <row r="1870" spans="1:4" x14ac:dyDescent="0.25">
      <c r="A1870" t="s">
        <v>103</v>
      </c>
      <c r="B1870" t="s">
        <v>64</v>
      </c>
      <c r="C1870" t="s">
        <v>481</v>
      </c>
      <c r="D1870">
        <v>0.17299999999999999</v>
      </c>
    </row>
    <row r="1871" spans="1:4" x14ac:dyDescent="0.25">
      <c r="A1871" t="s">
        <v>103</v>
      </c>
      <c r="B1871" t="s">
        <v>64</v>
      </c>
      <c r="C1871" t="s">
        <v>491</v>
      </c>
      <c r="D1871">
        <v>0.17299999999999999</v>
      </c>
    </row>
    <row r="1872" spans="1:4" x14ac:dyDescent="0.25">
      <c r="A1872" t="s">
        <v>103</v>
      </c>
      <c r="B1872" t="s">
        <v>64</v>
      </c>
      <c r="C1872" t="s">
        <v>492</v>
      </c>
      <c r="D1872">
        <v>0.17299999999999999</v>
      </c>
    </row>
    <row r="1873" spans="1:4" x14ac:dyDescent="0.25">
      <c r="A1873" t="s">
        <v>103</v>
      </c>
      <c r="B1873" t="s">
        <v>64</v>
      </c>
      <c r="C1873" t="s">
        <v>483</v>
      </c>
      <c r="D1873">
        <v>0.17299999999999999</v>
      </c>
    </row>
    <row r="1874" spans="1:4" x14ac:dyDescent="0.25">
      <c r="A1874" t="s">
        <v>103</v>
      </c>
      <c r="B1874" t="s">
        <v>64</v>
      </c>
      <c r="C1874" t="s">
        <v>493</v>
      </c>
      <c r="D1874">
        <v>0.17299999999999999</v>
      </c>
    </row>
    <row r="1875" spans="1:4" x14ac:dyDescent="0.25">
      <c r="A1875" t="s">
        <v>103</v>
      </c>
      <c r="B1875" t="s">
        <v>64</v>
      </c>
      <c r="C1875" t="s">
        <v>486</v>
      </c>
      <c r="D1875">
        <v>0.17299999999999999</v>
      </c>
    </row>
    <row r="1876" spans="1:4" x14ac:dyDescent="0.25">
      <c r="A1876" t="s">
        <v>103</v>
      </c>
      <c r="B1876" t="s">
        <v>64</v>
      </c>
      <c r="C1876" t="s">
        <v>487</v>
      </c>
      <c r="D1876">
        <v>0.17299999999999999</v>
      </c>
    </row>
    <row r="1877" spans="1:4" x14ac:dyDescent="0.25">
      <c r="A1877" t="s">
        <v>103</v>
      </c>
      <c r="B1877" t="s">
        <v>64</v>
      </c>
      <c r="C1877" t="s">
        <v>496</v>
      </c>
      <c r="D1877">
        <v>0.17299999999999999</v>
      </c>
    </row>
    <row r="1878" spans="1:4" x14ac:dyDescent="0.25">
      <c r="A1878" t="s">
        <v>103</v>
      </c>
      <c r="B1878" t="s">
        <v>64</v>
      </c>
      <c r="C1878" t="s">
        <v>499</v>
      </c>
      <c r="D1878">
        <v>0.17299999999999999</v>
      </c>
    </row>
    <row r="1879" spans="1:4" x14ac:dyDescent="0.25">
      <c r="A1879" t="s">
        <v>103</v>
      </c>
      <c r="B1879" t="s">
        <v>24</v>
      </c>
      <c r="C1879" t="s">
        <v>479</v>
      </c>
      <c r="D1879">
        <v>0.06</v>
      </c>
    </row>
    <row r="1880" spans="1:4" x14ac:dyDescent="0.25">
      <c r="A1880" t="s">
        <v>103</v>
      </c>
      <c r="B1880" t="s">
        <v>24</v>
      </c>
      <c r="C1880" t="s">
        <v>481</v>
      </c>
      <c r="D1880">
        <v>0.06</v>
      </c>
    </row>
    <row r="1881" spans="1:4" x14ac:dyDescent="0.25">
      <c r="A1881" t="s">
        <v>103</v>
      </c>
      <c r="B1881" t="s">
        <v>24</v>
      </c>
      <c r="C1881" t="s">
        <v>491</v>
      </c>
      <c r="D1881">
        <v>0.06</v>
      </c>
    </row>
    <row r="1882" spans="1:4" x14ac:dyDescent="0.25">
      <c r="A1882" t="s">
        <v>103</v>
      </c>
      <c r="B1882" t="s">
        <v>24</v>
      </c>
      <c r="C1882" t="s">
        <v>492</v>
      </c>
      <c r="D1882">
        <v>0.06</v>
      </c>
    </row>
    <row r="1883" spans="1:4" x14ac:dyDescent="0.25">
      <c r="A1883" t="s">
        <v>103</v>
      </c>
      <c r="B1883" t="s">
        <v>24</v>
      </c>
      <c r="C1883" t="s">
        <v>483</v>
      </c>
      <c r="D1883">
        <v>0.06</v>
      </c>
    </row>
    <row r="1884" spans="1:4" x14ac:dyDescent="0.25">
      <c r="A1884" t="s">
        <v>103</v>
      </c>
      <c r="B1884" t="s">
        <v>24</v>
      </c>
      <c r="C1884" t="s">
        <v>493</v>
      </c>
      <c r="D1884">
        <v>0.06</v>
      </c>
    </row>
    <row r="1885" spans="1:4" x14ac:dyDescent="0.25">
      <c r="A1885" t="s">
        <v>103</v>
      </c>
      <c r="B1885" t="s">
        <v>24</v>
      </c>
      <c r="C1885" t="s">
        <v>486</v>
      </c>
      <c r="D1885">
        <v>0.06</v>
      </c>
    </row>
    <row r="1886" spans="1:4" x14ac:dyDescent="0.25">
      <c r="A1886" t="s">
        <v>103</v>
      </c>
      <c r="B1886" t="s">
        <v>24</v>
      </c>
      <c r="C1886" t="s">
        <v>487</v>
      </c>
      <c r="D1886">
        <v>0.06</v>
      </c>
    </row>
    <row r="1887" spans="1:4" x14ac:dyDescent="0.25">
      <c r="A1887" t="s">
        <v>103</v>
      </c>
      <c r="B1887" t="s">
        <v>24</v>
      </c>
      <c r="C1887" t="s">
        <v>496</v>
      </c>
      <c r="D1887">
        <v>0.06</v>
      </c>
    </row>
    <row r="1888" spans="1:4" x14ac:dyDescent="0.25">
      <c r="A1888" t="s">
        <v>103</v>
      </c>
      <c r="B1888" t="s">
        <v>24</v>
      </c>
      <c r="C1888" t="s">
        <v>499</v>
      </c>
      <c r="D1888">
        <v>0.06</v>
      </c>
    </row>
    <row r="1889" spans="1:4" x14ac:dyDescent="0.25">
      <c r="A1889" t="s">
        <v>103</v>
      </c>
      <c r="B1889" t="s">
        <v>5</v>
      </c>
      <c r="C1889" t="s">
        <v>479</v>
      </c>
      <c r="D1889">
        <v>0.22</v>
      </c>
    </row>
    <row r="1890" spans="1:4" x14ac:dyDescent="0.25">
      <c r="A1890" t="s">
        <v>103</v>
      </c>
      <c r="B1890" t="s">
        <v>5</v>
      </c>
      <c r="C1890" t="s">
        <v>481</v>
      </c>
      <c r="D1890">
        <v>0.22</v>
      </c>
    </row>
    <row r="1891" spans="1:4" x14ac:dyDescent="0.25">
      <c r="A1891" t="s">
        <v>103</v>
      </c>
      <c r="B1891" t="s">
        <v>5</v>
      </c>
      <c r="C1891" t="s">
        <v>491</v>
      </c>
      <c r="D1891">
        <v>0.22</v>
      </c>
    </row>
    <row r="1892" spans="1:4" x14ac:dyDescent="0.25">
      <c r="A1892" t="s">
        <v>103</v>
      </c>
      <c r="B1892" t="s">
        <v>5</v>
      </c>
      <c r="C1892" t="s">
        <v>492</v>
      </c>
      <c r="D1892">
        <v>0.22</v>
      </c>
    </row>
    <row r="1893" spans="1:4" x14ac:dyDescent="0.25">
      <c r="A1893" t="s">
        <v>103</v>
      </c>
      <c r="B1893" t="s">
        <v>5</v>
      </c>
      <c r="C1893" t="s">
        <v>483</v>
      </c>
      <c r="D1893">
        <v>0.22</v>
      </c>
    </row>
    <row r="1894" spans="1:4" x14ac:dyDescent="0.25">
      <c r="A1894" t="s">
        <v>103</v>
      </c>
      <c r="B1894" t="s">
        <v>5</v>
      </c>
      <c r="C1894" t="s">
        <v>493</v>
      </c>
      <c r="D1894">
        <v>0.22</v>
      </c>
    </row>
    <row r="1895" spans="1:4" x14ac:dyDescent="0.25">
      <c r="A1895" t="s">
        <v>103</v>
      </c>
      <c r="B1895" t="s">
        <v>5</v>
      </c>
      <c r="C1895" t="s">
        <v>486</v>
      </c>
      <c r="D1895">
        <v>0.22</v>
      </c>
    </row>
    <row r="1896" spans="1:4" x14ac:dyDescent="0.25">
      <c r="A1896" t="s">
        <v>103</v>
      </c>
      <c r="B1896" t="s">
        <v>5</v>
      </c>
      <c r="C1896" t="s">
        <v>487</v>
      </c>
      <c r="D1896">
        <v>0.22</v>
      </c>
    </row>
    <row r="1897" spans="1:4" x14ac:dyDescent="0.25">
      <c r="A1897" t="s">
        <v>103</v>
      </c>
      <c r="B1897" t="s">
        <v>5</v>
      </c>
      <c r="C1897" t="s">
        <v>496</v>
      </c>
      <c r="D1897">
        <v>0.22</v>
      </c>
    </row>
    <row r="1898" spans="1:4" x14ac:dyDescent="0.25">
      <c r="A1898" t="s">
        <v>103</v>
      </c>
      <c r="B1898" t="s">
        <v>5</v>
      </c>
      <c r="C1898" t="s">
        <v>499</v>
      </c>
      <c r="D1898">
        <v>0.22</v>
      </c>
    </row>
    <row r="1899" spans="1:4" x14ac:dyDescent="0.25">
      <c r="A1899" t="s">
        <v>103</v>
      </c>
      <c r="B1899" t="s">
        <v>22</v>
      </c>
      <c r="C1899" t="s">
        <v>479</v>
      </c>
      <c r="D1899">
        <v>2.9999999999999997E-4</v>
      </c>
    </row>
    <row r="1900" spans="1:4" x14ac:dyDescent="0.25">
      <c r="A1900" t="s">
        <v>103</v>
      </c>
      <c r="B1900" t="s">
        <v>22</v>
      </c>
      <c r="C1900" t="s">
        <v>481</v>
      </c>
      <c r="D1900">
        <v>2.9999999999999997E-4</v>
      </c>
    </row>
    <row r="1901" spans="1:4" x14ac:dyDescent="0.25">
      <c r="A1901" t="s">
        <v>103</v>
      </c>
      <c r="B1901" t="s">
        <v>22</v>
      </c>
      <c r="C1901" t="s">
        <v>491</v>
      </c>
      <c r="D1901">
        <v>2.9999999999999997E-4</v>
      </c>
    </row>
    <row r="1902" spans="1:4" x14ac:dyDescent="0.25">
      <c r="A1902" t="s">
        <v>103</v>
      </c>
      <c r="B1902" t="s">
        <v>22</v>
      </c>
      <c r="C1902" t="s">
        <v>492</v>
      </c>
      <c r="D1902">
        <v>2.9999999999999997E-4</v>
      </c>
    </row>
    <row r="1903" spans="1:4" x14ac:dyDescent="0.25">
      <c r="A1903" t="s">
        <v>103</v>
      </c>
      <c r="B1903" t="s">
        <v>22</v>
      </c>
      <c r="C1903" t="s">
        <v>483</v>
      </c>
      <c r="D1903">
        <v>2.9999999999999997E-4</v>
      </c>
    </row>
    <row r="1904" spans="1:4" x14ac:dyDescent="0.25">
      <c r="A1904" t="s">
        <v>103</v>
      </c>
      <c r="B1904" t="s">
        <v>22</v>
      </c>
      <c r="C1904" t="s">
        <v>493</v>
      </c>
      <c r="D1904">
        <v>2.9999999999999997E-4</v>
      </c>
    </row>
    <row r="1905" spans="1:4" x14ac:dyDescent="0.25">
      <c r="A1905" t="s">
        <v>103</v>
      </c>
      <c r="B1905" t="s">
        <v>22</v>
      </c>
      <c r="C1905" t="s">
        <v>486</v>
      </c>
      <c r="D1905">
        <v>2.9999999999999997E-4</v>
      </c>
    </row>
    <row r="1906" spans="1:4" x14ac:dyDescent="0.25">
      <c r="A1906" t="s">
        <v>103</v>
      </c>
      <c r="B1906" t="s">
        <v>22</v>
      </c>
      <c r="C1906" t="s">
        <v>487</v>
      </c>
      <c r="D1906">
        <v>2.9999999999999997E-4</v>
      </c>
    </row>
    <row r="1907" spans="1:4" x14ac:dyDescent="0.25">
      <c r="A1907" t="s">
        <v>103</v>
      </c>
      <c r="B1907" t="s">
        <v>22</v>
      </c>
      <c r="C1907" t="s">
        <v>496</v>
      </c>
      <c r="D1907">
        <v>2.9999999999999997E-4</v>
      </c>
    </row>
    <row r="1908" spans="1:4" x14ac:dyDescent="0.25">
      <c r="A1908" t="s">
        <v>103</v>
      </c>
      <c r="B1908" t="s">
        <v>22</v>
      </c>
      <c r="C1908" t="s">
        <v>499</v>
      </c>
      <c r="D1908">
        <v>2.9999999999999997E-4</v>
      </c>
    </row>
    <row r="1909" spans="1:4" x14ac:dyDescent="0.25">
      <c r="A1909" t="s">
        <v>103</v>
      </c>
      <c r="B1909" t="s">
        <v>104</v>
      </c>
      <c r="C1909" t="s">
        <v>479</v>
      </c>
      <c r="D1909">
        <v>0.38</v>
      </c>
    </row>
    <row r="1910" spans="1:4" x14ac:dyDescent="0.25">
      <c r="A1910" t="s">
        <v>103</v>
      </c>
      <c r="B1910" t="s">
        <v>104</v>
      </c>
      <c r="C1910" t="s">
        <v>481</v>
      </c>
      <c r="D1910">
        <v>0.38</v>
      </c>
    </row>
    <row r="1911" spans="1:4" x14ac:dyDescent="0.25">
      <c r="A1911" t="s">
        <v>103</v>
      </c>
      <c r="B1911" t="s">
        <v>104</v>
      </c>
      <c r="C1911" t="s">
        <v>491</v>
      </c>
      <c r="D1911">
        <v>0.38</v>
      </c>
    </row>
    <row r="1912" spans="1:4" x14ac:dyDescent="0.25">
      <c r="A1912" t="s">
        <v>103</v>
      </c>
      <c r="B1912" t="s">
        <v>104</v>
      </c>
      <c r="C1912" t="s">
        <v>492</v>
      </c>
      <c r="D1912">
        <v>0.38</v>
      </c>
    </row>
    <row r="1913" spans="1:4" x14ac:dyDescent="0.25">
      <c r="A1913" t="s">
        <v>103</v>
      </c>
      <c r="B1913" t="s">
        <v>104</v>
      </c>
      <c r="C1913" t="s">
        <v>483</v>
      </c>
      <c r="D1913">
        <v>0.38</v>
      </c>
    </row>
    <row r="1914" spans="1:4" x14ac:dyDescent="0.25">
      <c r="A1914" t="s">
        <v>103</v>
      </c>
      <c r="B1914" t="s">
        <v>104</v>
      </c>
      <c r="C1914" t="s">
        <v>493</v>
      </c>
      <c r="D1914">
        <v>0.38</v>
      </c>
    </row>
    <row r="1915" spans="1:4" x14ac:dyDescent="0.25">
      <c r="A1915" t="s">
        <v>103</v>
      </c>
      <c r="B1915" t="s">
        <v>104</v>
      </c>
      <c r="C1915" t="s">
        <v>486</v>
      </c>
      <c r="D1915">
        <v>0.38</v>
      </c>
    </row>
    <row r="1916" spans="1:4" x14ac:dyDescent="0.25">
      <c r="A1916" t="s">
        <v>103</v>
      </c>
      <c r="B1916" t="s">
        <v>104</v>
      </c>
      <c r="C1916" t="s">
        <v>487</v>
      </c>
      <c r="D1916">
        <v>0.38</v>
      </c>
    </row>
    <row r="1917" spans="1:4" x14ac:dyDescent="0.25">
      <c r="A1917" t="s">
        <v>103</v>
      </c>
      <c r="B1917" t="s">
        <v>104</v>
      </c>
      <c r="C1917" t="s">
        <v>496</v>
      </c>
      <c r="D1917">
        <v>0.38</v>
      </c>
    </row>
    <row r="1918" spans="1:4" x14ac:dyDescent="0.25">
      <c r="A1918" t="s">
        <v>103</v>
      </c>
      <c r="B1918" t="s">
        <v>104</v>
      </c>
      <c r="C1918" t="s">
        <v>499</v>
      </c>
      <c r="D1918">
        <v>0.38</v>
      </c>
    </row>
    <row r="1919" spans="1:4" x14ac:dyDescent="0.25">
      <c r="A1919" t="s">
        <v>103</v>
      </c>
      <c r="B1919" t="s">
        <v>615</v>
      </c>
      <c r="C1919" t="s">
        <v>479</v>
      </c>
      <c r="D1919">
        <v>6.9999999999999999E-4</v>
      </c>
    </row>
    <row r="1920" spans="1:4" x14ac:dyDescent="0.25">
      <c r="A1920" t="s">
        <v>103</v>
      </c>
      <c r="B1920" t="s">
        <v>615</v>
      </c>
      <c r="C1920" t="s">
        <v>481</v>
      </c>
      <c r="D1920">
        <v>6.9999999999999999E-4</v>
      </c>
    </row>
    <row r="1921" spans="1:4" x14ac:dyDescent="0.25">
      <c r="A1921" t="s">
        <v>103</v>
      </c>
      <c r="B1921" t="s">
        <v>615</v>
      </c>
      <c r="C1921" t="s">
        <v>491</v>
      </c>
      <c r="D1921">
        <v>6.9999999999999999E-4</v>
      </c>
    </row>
    <row r="1922" spans="1:4" x14ac:dyDescent="0.25">
      <c r="A1922" t="s">
        <v>103</v>
      </c>
      <c r="B1922" t="s">
        <v>615</v>
      </c>
      <c r="C1922" t="s">
        <v>492</v>
      </c>
      <c r="D1922">
        <v>6.9999999999999999E-4</v>
      </c>
    </row>
    <row r="1923" spans="1:4" x14ac:dyDescent="0.25">
      <c r="A1923" t="s">
        <v>103</v>
      </c>
      <c r="B1923" t="s">
        <v>615</v>
      </c>
      <c r="C1923" t="s">
        <v>483</v>
      </c>
      <c r="D1923">
        <v>6.9999999999999999E-4</v>
      </c>
    </row>
    <row r="1924" spans="1:4" x14ac:dyDescent="0.25">
      <c r="A1924" t="s">
        <v>103</v>
      </c>
      <c r="B1924" t="s">
        <v>615</v>
      </c>
      <c r="C1924" t="s">
        <v>493</v>
      </c>
      <c r="D1924">
        <v>8.0000000000000004E-4</v>
      </c>
    </row>
    <row r="1925" spans="1:4" x14ac:dyDescent="0.25">
      <c r="A1925" t="s">
        <v>103</v>
      </c>
      <c r="B1925" t="s">
        <v>615</v>
      </c>
      <c r="C1925" t="s">
        <v>486</v>
      </c>
      <c r="D1925">
        <v>1E-3</v>
      </c>
    </row>
    <row r="1926" spans="1:4" x14ac:dyDescent="0.25">
      <c r="A1926" t="s">
        <v>103</v>
      </c>
      <c r="B1926" t="s">
        <v>615</v>
      </c>
      <c r="C1926" t="s">
        <v>487</v>
      </c>
      <c r="D1926">
        <v>8.0000000000000004E-4</v>
      </c>
    </row>
    <row r="1927" spans="1:4" x14ac:dyDescent="0.25">
      <c r="A1927" t="s">
        <v>103</v>
      </c>
      <c r="B1927" t="s">
        <v>615</v>
      </c>
      <c r="C1927" t="s">
        <v>496</v>
      </c>
      <c r="D1927">
        <v>5.9999999999999995E-4</v>
      </c>
    </row>
    <row r="1928" spans="1:4" x14ac:dyDescent="0.25">
      <c r="A1928" t="s">
        <v>103</v>
      </c>
      <c r="B1928" t="s">
        <v>615</v>
      </c>
      <c r="C1928" t="s">
        <v>499</v>
      </c>
      <c r="D1928">
        <v>8.9999999999999998E-4</v>
      </c>
    </row>
    <row r="1929" spans="1:4" x14ac:dyDescent="0.25">
      <c r="A1929" t="s">
        <v>103</v>
      </c>
      <c r="B1929" t="s">
        <v>67</v>
      </c>
      <c r="C1929" t="s">
        <v>479</v>
      </c>
      <c r="D1929">
        <v>3.5999999999999997E-2</v>
      </c>
    </row>
    <row r="1930" spans="1:4" x14ac:dyDescent="0.25">
      <c r="A1930" t="s">
        <v>103</v>
      </c>
      <c r="B1930" t="s">
        <v>67</v>
      </c>
      <c r="C1930" t="s">
        <v>481</v>
      </c>
      <c r="D1930">
        <v>3.5999999999999997E-2</v>
      </c>
    </row>
    <row r="1931" spans="1:4" x14ac:dyDescent="0.25">
      <c r="A1931" t="s">
        <v>103</v>
      </c>
      <c r="B1931" t="s">
        <v>67</v>
      </c>
      <c r="C1931" t="s">
        <v>491</v>
      </c>
      <c r="D1931">
        <v>3.5999999999999997E-2</v>
      </c>
    </row>
    <row r="1932" spans="1:4" x14ac:dyDescent="0.25">
      <c r="A1932" t="s">
        <v>103</v>
      </c>
      <c r="B1932" t="s">
        <v>67</v>
      </c>
      <c r="C1932" t="s">
        <v>492</v>
      </c>
      <c r="D1932">
        <v>3.5999999999999997E-2</v>
      </c>
    </row>
    <row r="1933" spans="1:4" x14ac:dyDescent="0.25">
      <c r="A1933" t="s">
        <v>103</v>
      </c>
      <c r="B1933" t="s">
        <v>67</v>
      </c>
      <c r="C1933" t="s">
        <v>483</v>
      </c>
      <c r="D1933">
        <v>3.5999999999999997E-2</v>
      </c>
    </row>
    <row r="1934" spans="1:4" x14ac:dyDescent="0.25">
      <c r="A1934" t="s">
        <v>103</v>
      </c>
      <c r="B1934" t="s">
        <v>67</v>
      </c>
      <c r="C1934" t="s">
        <v>493</v>
      </c>
      <c r="D1934">
        <v>3.5999999999999997E-2</v>
      </c>
    </row>
    <row r="1935" spans="1:4" x14ac:dyDescent="0.25">
      <c r="A1935" t="s">
        <v>103</v>
      </c>
      <c r="B1935" t="s">
        <v>67</v>
      </c>
      <c r="C1935" t="s">
        <v>486</v>
      </c>
      <c r="D1935">
        <v>3.5999999999999997E-2</v>
      </c>
    </row>
    <row r="1936" spans="1:4" x14ac:dyDescent="0.25">
      <c r="A1936" t="s">
        <v>103</v>
      </c>
      <c r="B1936" t="s">
        <v>67</v>
      </c>
      <c r="C1936" t="s">
        <v>487</v>
      </c>
      <c r="D1936">
        <v>3.5999999999999997E-2</v>
      </c>
    </row>
    <row r="1937" spans="1:4" x14ac:dyDescent="0.25">
      <c r="A1937" t="s">
        <v>103</v>
      </c>
      <c r="B1937" t="s">
        <v>67</v>
      </c>
      <c r="C1937" t="s">
        <v>496</v>
      </c>
      <c r="D1937">
        <v>3.5999999999999997E-2</v>
      </c>
    </row>
    <row r="1938" spans="1:4" x14ac:dyDescent="0.25">
      <c r="A1938" t="s">
        <v>103</v>
      </c>
      <c r="B1938" t="s">
        <v>67</v>
      </c>
      <c r="C1938" t="s">
        <v>499</v>
      </c>
      <c r="D1938">
        <v>3.5999999999999997E-2</v>
      </c>
    </row>
    <row r="1939" spans="1:4" x14ac:dyDescent="0.25">
      <c r="A1939" t="s">
        <v>105</v>
      </c>
      <c r="B1939" t="s">
        <v>96</v>
      </c>
      <c r="C1939" t="s">
        <v>479</v>
      </c>
      <c r="D1939">
        <v>-19</v>
      </c>
    </row>
    <row r="1940" spans="1:4" x14ac:dyDescent="0.25">
      <c r="A1940" t="s">
        <v>105</v>
      </c>
      <c r="B1940" t="s">
        <v>96</v>
      </c>
      <c r="C1940" t="s">
        <v>481</v>
      </c>
      <c r="D1940">
        <v>-19</v>
      </c>
    </row>
    <row r="1941" spans="1:4" x14ac:dyDescent="0.25">
      <c r="A1941" t="s">
        <v>105</v>
      </c>
      <c r="B1941" t="s">
        <v>96</v>
      </c>
      <c r="C1941" t="s">
        <v>491</v>
      </c>
      <c r="D1941">
        <v>-19</v>
      </c>
    </row>
    <row r="1942" spans="1:4" x14ac:dyDescent="0.25">
      <c r="A1942" t="s">
        <v>105</v>
      </c>
      <c r="B1942" t="s">
        <v>96</v>
      </c>
      <c r="C1942" t="s">
        <v>492</v>
      </c>
      <c r="D1942">
        <v>-19</v>
      </c>
    </row>
    <row r="1943" spans="1:4" x14ac:dyDescent="0.25">
      <c r="A1943" t="s">
        <v>105</v>
      </c>
      <c r="B1943" t="s">
        <v>96</v>
      </c>
      <c r="C1943" t="s">
        <v>483</v>
      </c>
      <c r="D1943">
        <v>-19</v>
      </c>
    </row>
    <row r="1944" spans="1:4" x14ac:dyDescent="0.25">
      <c r="A1944" t="s">
        <v>105</v>
      </c>
      <c r="B1944" t="s">
        <v>96</v>
      </c>
      <c r="C1944" t="s">
        <v>493</v>
      </c>
      <c r="D1944">
        <v>-19</v>
      </c>
    </row>
    <row r="1945" spans="1:4" x14ac:dyDescent="0.25">
      <c r="A1945" t="s">
        <v>105</v>
      </c>
      <c r="B1945" t="s">
        <v>96</v>
      </c>
      <c r="C1945" t="s">
        <v>486</v>
      </c>
      <c r="D1945">
        <v>-19</v>
      </c>
    </row>
    <row r="1946" spans="1:4" x14ac:dyDescent="0.25">
      <c r="A1946" t="s">
        <v>105</v>
      </c>
      <c r="B1946" t="s">
        <v>96</v>
      </c>
      <c r="C1946" t="s">
        <v>487</v>
      </c>
      <c r="D1946">
        <v>-19</v>
      </c>
    </row>
    <row r="1947" spans="1:4" x14ac:dyDescent="0.25">
      <c r="A1947" t="s">
        <v>105</v>
      </c>
      <c r="B1947" t="s">
        <v>96</v>
      </c>
      <c r="C1947" t="s">
        <v>496</v>
      </c>
      <c r="D1947">
        <v>-19</v>
      </c>
    </row>
    <row r="1948" spans="1:4" x14ac:dyDescent="0.25">
      <c r="A1948" t="s">
        <v>105</v>
      </c>
      <c r="B1948" t="s">
        <v>96</v>
      </c>
      <c r="C1948" t="s">
        <v>499</v>
      </c>
      <c r="D1948">
        <v>-19</v>
      </c>
    </row>
    <row r="1949" spans="1:4" x14ac:dyDescent="0.25">
      <c r="A1949" t="s">
        <v>105</v>
      </c>
      <c r="B1949" t="s">
        <v>88</v>
      </c>
      <c r="C1949" t="s">
        <v>479</v>
      </c>
      <c r="D1949">
        <v>-5.1999999999999998E-2</v>
      </c>
    </row>
    <row r="1950" spans="1:4" x14ac:dyDescent="0.25">
      <c r="A1950" t="s">
        <v>105</v>
      </c>
      <c r="B1950" t="s">
        <v>88</v>
      </c>
      <c r="C1950" t="s">
        <v>481</v>
      </c>
      <c r="D1950">
        <v>-5.1999999999999998E-2</v>
      </c>
    </row>
    <row r="1951" spans="1:4" x14ac:dyDescent="0.25">
      <c r="A1951" t="s">
        <v>105</v>
      </c>
      <c r="B1951" t="s">
        <v>88</v>
      </c>
      <c r="C1951" t="s">
        <v>491</v>
      </c>
      <c r="D1951">
        <v>-5.1999999999999998E-2</v>
      </c>
    </row>
    <row r="1952" spans="1:4" x14ac:dyDescent="0.25">
      <c r="A1952" t="s">
        <v>105</v>
      </c>
      <c r="B1952" t="s">
        <v>88</v>
      </c>
      <c r="C1952" t="s">
        <v>492</v>
      </c>
      <c r="D1952">
        <v>-5.1999999999999998E-2</v>
      </c>
    </row>
    <row r="1953" spans="1:4" x14ac:dyDescent="0.25">
      <c r="A1953" t="s">
        <v>105</v>
      </c>
      <c r="B1953" t="s">
        <v>88</v>
      </c>
      <c r="C1953" t="s">
        <v>483</v>
      </c>
      <c r="D1953">
        <v>-5.1999999999999998E-2</v>
      </c>
    </row>
    <row r="1954" spans="1:4" x14ac:dyDescent="0.25">
      <c r="A1954" t="s">
        <v>105</v>
      </c>
      <c r="B1954" t="s">
        <v>88</v>
      </c>
      <c r="C1954" t="s">
        <v>493</v>
      </c>
      <c r="D1954">
        <v>-5.1999999999999998E-2</v>
      </c>
    </row>
    <row r="1955" spans="1:4" x14ac:dyDescent="0.25">
      <c r="A1955" t="s">
        <v>105</v>
      </c>
      <c r="B1955" t="s">
        <v>88</v>
      </c>
      <c r="C1955" t="s">
        <v>486</v>
      </c>
      <c r="D1955">
        <v>-5.1999999999999998E-2</v>
      </c>
    </row>
    <row r="1956" spans="1:4" x14ac:dyDescent="0.25">
      <c r="A1956" t="s">
        <v>105</v>
      </c>
      <c r="B1956" t="s">
        <v>88</v>
      </c>
      <c r="C1956" t="s">
        <v>487</v>
      </c>
      <c r="D1956">
        <v>-5.1999999999999998E-2</v>
      </c>
    </row>
    <row r="1957" spans="1:4" x14ac:dyDescent="0.25">
      <c r="A1957" t="s">
        <v>105</v>
      </c>
      <c r="B1957" t="s">
        <v>88</v>
      </c>
      <c r="C1957" t="s">
        <v>496</v>
      </c>
      <c r="D1957">
        <v>-5.1999999999999998E-2</v>
      </c>
    </row>
    <row r="1958" spans="1:4" x14ac:dyDescent="0.25">
      <c r="A1958" t="s">
        <v>105</v>
      </c>
      <c r="B1958" t="s">
        <v>88</v>
      </c>
      <c r="C1958" t="s">
        <v>499</v>
      </c>
      <c r="D1958">
        <v>-5.1999999999999998E-2</v>
      </c>
    </row>
    <row r="1959" spans="1:4" x14ac:dyDescent="0.25">
      <c r="A1959" t="s">
        <v>105</v>
      </c>
      <c r="B1959" t="s">
        <v>95</v>
      </c>
      <c r="C1959" t="s">
        <v>479</v>
      </c>
      <c r="D1959">
        <v>0.4</v>
      </c>
    </row>
    <row r="1960" spans="1:4" x14ac:dyDescent="0.25">
      <c r="A1960" t="s">
        <v>105</v>
      </c>
      <c r="B1960" t="s">
        <v>95</v>
      </c>
      <c r="C1960" t="s">
        <v>481</v>
      </c>
      <c r="D1960">
        <v>0.4</v>
      </c>
    </row>
    <row r="1961" spans="1:4" x14ac:dyDescent="0.25">
      <c r="A1961" t="s">
        <v>105</v>
      </c>
      <c r="B1961" t="s">
        <v>95</v>
      </c>
      <c r="C1961" t="s">
        <v>491</v>
      </c>
      <c r="D1961">
        <v>0.4</v>
      </c>
    </row>
    <row r="1962" spans="1:4" x14ac:dyDescent="0.25">
      <c r="A1962" t="s">
        <v>105</v>
      </c>
      <c r="B1962" t="s">
        <v>95</v>
      </c>
      <c r="C1962" t="s">
        <v>492</v>
      </c>
      <c r="D1962">
        <v>0.4</v>
      </c>
    </row>
    <row r="1963" spans="1:4" x14ac:dyDescent="0.25">
      <c r="A1963" t="s">
        <v>105</v>
      </c>
      <c r="B1963" t="s">
        <v>95</v>
      </c>
      <c r="C1963" t="s">
        <v>483</v>
      </c>
      <c r="D1963">
        <v>0.4</v>
      </c>
    </row>
    <row r="1964" spans="1:4" x14ac:dyDescent="0.25">
      <c r="A1964" t="s">
        <v>105</v>
      </c>
      <c r="B1964" t="s">
        <v>95</v>
      </c>
      <c r="C1964" t="s">
        <v>493</v>
      </c>
      <c r="D1964">
        <v>0.4</v>
      </c>
    </row>
    <row r="1965" spans="1:4" x14ac:dyDescent="0.25">
      <c r="A1965" t="s">
        <v>105</v>
      </c>
      <c r="B1965" t="s">
        <v>95</v>
      </c>
      <c r="C1965" t="s">
        <v>486</v>
      </c>
      <c r="D1965">
        <v>0.4</v>
      </c>
    </row>
    <row r="1966" spans="1:4" x14ac:dyDescent="0.25">
      <c r="A1966" t="s">
        <v>105</v>
      </c>
      <c r="B1966" t="s">
        <v>95</v>
      </c>
      <c r="C1966" t="s">
        <v>487</v>
      </c>
      <c r="D1966">
        <v>0.4</v>
      </c>
    </row>
    <row r="1967" spans="1:4" x14ac:dyDescent="0.25">
      <c r="A1967" t="s">
        <v>105</v>
      </c>
      <c r="B1967" t="s">
        <v>95</v>
      </c>
      <c r="C1967" t="s">
        <v>496</v>
      </c>
      <c r="D1967">
        <v>0.4</v>
      </c>
    </row>
    <row r="1968" spans="1:4" x14ac:dyDescent="0.25">
      <c r="A1968" t="s">
        <v>105</v>
      </c>
      <c r="B1968" t="s">
        <v>95</v>
      </c>
      <c r="C1968" t="s">
        <v>499</v>
      </c>
      <c r="D1968">
        <v>0.4</v>
      </c>
    </row>
    <row r="1969" spans="1:4" x14ac:dyDescent="0.25">
      <c r="A1969" t="s">
        <v>105</v>
      </c>
      <c r="B1969" t="s">
        <v>63</v>
      </c>
      <c r="C1969" t="s">
        <v>479</v>
      </c>
      <c r="D1969">
        <v>1.5609999999999999</v>
      </c>
    </row>
    <row r="1970" spans="1:4" x14ac:dyDescent="0.25">
      <c r="A1970" t="s">
        <v>105</v>
      </c>
      <c r="B1970" t="s">
        <v>63</v>
      </c>
      <c r="C1970" t="s">
        <v>481</v>
      </c>
      <c r="D1970">
        <v>1.5609999999999999</v>
      </c>
    </row>
    <row r="1971" spans="1:4" x14ac:dyDescent="0.25">
      <c r="A1971" t="s">
        <v>105</v>
      </c>
      <c r="B1971" t="s">
        <v>63</v>
      </c>
      <c r="C1971" t="s">
        <v>491</v>
      </c>
      <c r="D1971">
        <v>1.5609999999999999</v>
      </c>
    </row>
    <row r="1972" spans="1:4" x14ac:dyDescent="0.25">
      <c r="A1972" t="s">
        <v>105</v>
      </c>
      <c r="B1972" t="s">
        <v>63</v>
      </c>
      <c r="C1972" t="s">
        <v>492</v>
      </c>
      <c r="D1972">
        <v>1.5609999999999999</v>
      </c>
    </row>
    <row r="1973" spans="1:4" x14ac:dyDescent="0.25">
      <c r="A1973" t="s">
        <v>105</v>
      </c>
      <c r="B1973" t="s">
        <v>63</v>
      </c>
      <c r="C1973" t="s">
        <v>483</v>
      </c>
      <c r="D1973">
        <v>1.5609999999999999</v>
      </c>
    </row>
    <row r="1974" spans="1:4" x14ac:dyDescent="0.25">
      <c r="A1974" t="s">
        <v>105</v>
      </c>
      <c r="B1974" t="s">
        <v>63</v>
      </c>
      <c r="C1974" t="s">
        <v>493</v>
      </c>
      <c r="D1974">
        <v>1.5609999999999999</v>
      </c>
    </row>
    <row r="1975" spans="1:4" x14ac:dyDescent="0.25">
      <c r="A1975" t="s">
        <v>105</v>
      </c>
      <c r="B1975" t="s">
        <v>63</v>
      </c>
      <c r="C1975" t="s">
        <v>486</v>
      </c>
      <c r="D1975">
        <v>1.5609999999999999</v>
      </c>
    </row>
    <row r="1976" spans="1:4" x14ac:dyDescent="0.25">
      <c r="A1976" t="s">
        <v>105</v>
      </c>
      <c r="B1976" t="s">
        <v>63</v>
      </c>
      <c r="C1976" t="s">
        <v>487</v>
      </c>
      <c r="D1976">
        <v>1.5609999999999999</v>
      </c>
    </row>
    <row r="1977" spans="1:4" x14ac:dyDescent="0.25">
      <c r="A1977" t="s">
        <v>105</v>
      </c>
      <c r="B1977" t="s">
        <v>63</v>
      </c>
      <c r="C1977" t="s">
        <v>496</v>
      </c>
      <c r="D1977">
        <v>1.5609999999999999</v>
      </c>
    </row>
    <row r="1978" spans="1:4" x14ac:dyDescent="0.25">
      <c r="A1978" t="s">
        <v>105</v>
      </c>
      <c r="B1978" t="s">
        <v>63</v>
      </c>
      <c r="C1978" t="s">
        <v>499</v>
      </c>
      <c r="D1978">
        <v>1.5609999999999999</v>
      </c>
    </row>
    <row r="1979" spans="1:4" x14ac:dyDescent="0.25">
      <c r="A1979" t="s">
        <v>105</v>
      </c>
      <c r="B1979" t="s">
        <v>64</v>
      </c>
      <c r="C1979" t="s">
        <v>479</v>
      </c>
      <c r="D1979">
        <v>1.73</v>
      </c>
    </row>
    <row r="1980" spans="1:4" x14ac:dyDescent="0.25">
      <c r="A1980" t="s">
        <v>105</v>
      </c>
      <c r="B1980" t="s">
        <v>64</v>
      </c>
      <c r="C1980" t="s">
        <v>481</v>
      </c>
      <c r="D1980">
        <v>1.73</v>
      </c>
    </row>
    <row r="1981" spans="1:4" x14ac:dyDescent="0.25">
      <c r="A1981" t="s">
        <v>105</v>
      </c>
      <c r="B1981" t="s">
        <v>64</v>
      </c>
      <c r="C1981" t="s">
        <v>491</v>
      </c>
      <c r="D1981">
        <v>1.73</v>
      </c>
    </row>
    <row r="1982" spans="1:4" x14ac:dyDescent="0.25">
      <c r="A1982" t="s">
        <v>105</v>
      </c>
      <c r="B1982" t="s">
        <v>64</v>
      </c>
      <c r="C1982" t="s">
        <v>492</v>
      </c>
      <c r="D1982">
        <v>1.73</v>
      </c>
    </row>
    <row r="1983" spans="1:4" x14ac:dyDescent="0.25">
      <c r="A1983" t="s">
        <v>105</v>
      </c>
      <c r="B1983" t="s">
        <v>64</v>
      </c>
      <c r="C1983" t="s">
        <v>483</v>
      </c>
      <c r="D1983">
        <v>1.73</v>
      </c>
    </row>
    <row r="1984" spans="1:4" x14ac:dyDescent="0.25">
      <c r="A1984" t="s">
        <v>105</v>
      </c>
      <c r="B1984" t="s">
        <v>64</v>
      </c>
      <c r="C1984" t="s">
        <v>493</v>
      </c>
      <c r="D1984">
        <v>1.73</v>
      </c>
    </row>
    <row r="1985" spans="1:4" x14ac:dyDescent="0.25">
      <c r="A1985" t="s">
        <v>105</v>
      </c>
      <c r="B1985" t="s">
        <v>64</v>
      </c>
      <c r="C1985" t="s">
        <v>486</v>
      </c>
      <c r="D1985">
        <v>1.73</v>
      </c>
    </row>
    <row r="1986" spans="1:4" x14ac:dyDescent="0.25">
      <c r="A1986" t="s">
        <v>105</v>
      </c>
      <c r="B1986" t="s">
        <v>64</v>
      </c>
      <c r="C1986" t="s">
        <v>487</v>
      </c>
      <c r="D1986">
        <v>1.73</v>
      </c>
    </row>
    <row r="1987" spans="1:4" x14ac:dyDescent="0.25">
      <c r="A1987" t="s">
        <v>105</v>
      </c>
      <c r="B1987" t="s">
        <v>64</v>
      </c>
      <c r="C1987" t="s">
        <v>496</v>
      </c>
      <c r="D1987">
        <v>1.73</v>
      </c>
    </row>
    <row r="1988" spans="1:4" x14ac:dyDescent="0.25">
      <c r="A1988" t="s">
        <v>105</v>
      </c>
      <c r="B1988" t="s">
        <v>64</v>
      </c>
      <c r="C1988" t="s">
        <v>499</v>
      </c>
      <c r="D1988">
        <v>1.73</v>
      </c>
    </row>
    <row r="1989" spans="1:4" x14ac:dyDescent="0.25">
      <c r="A1989" t="s">
        <v>105</v>
      </c>
      <c r="B1989" t="s">
        <v>24</v>
      </c>
      <c r="C1989" t="s">
        <v>479</v>
      </c>
      <c r="D1989">
        <v>1.6879999999999999</v>
      </c>
    </row>
    <row r="1990" spans="1:4" x14ac:dyDescent="0.25">
      <c r="A1990" t="s">
        <v>105</v>
      </c>
      <c r="B1990" t="s">
        <v>24</v>
      </c>
      <c r="C1990" t="s">
        <v>481</v>
      </c>
      <c r="D1990">
        <v>1.6879999999999999</v>
      </c>
    </row>
    <row r="1991" spans="1:4" x14ac:dyDescent="0.25">
      <c r="A1991" t="s">
        <v>105</v>
      </c>
      <c r="B1991" t="s">
        <v>24</v>
      </c>
      <c r="C1991" t="s">
        <v>491</v>
      </c>
      <c r="D1991">
        <v>1.6879999999999999</v>
      </c>
    </row>
    <row r="1992" spans="1:4" x14ac:dyDescent="0.25">
      <c r="A1992" t="s">
        <v>105</v>
      </c>
      <c r="B1992" t="s">
        <v>24</v>
      </c>
      <c r="C1992" t="s">
        <v>492</v>
      </c>
      <c r="D1992">
        <v>1.6879999999999999</v>
      </c>
    </row>
    <row r="1993" spans="1:4" x14ac:dyDescent="0.25">
      <c r="A1993" t="s">
        <v>105</v>
      </c>
      <c r="B1993" t="s">
        <v>24</v>
      </c>
      <c r="C1993" t="s">
        <v>483</v>
      </c>
      <c r="D1993">
        <v>1.6879999999999999</v>
      </c>
    </row>
    <row r="1994" spans="1:4" x14ac:dyDescent="0.25">
      <c r="A1994" t="s">
        <v>105</v>
      </c>
      <c r="B1994" t="s">
        <v>24</v>
      </c>
      <c r="C1994" t="s">
        <v>493</v>
      </c>
      <c r="D1994">
        <v>1.6879999999999999</v>
      </c>
    </row>
    <row r="1995" spans="1:4" x14ac:dyDescent="0.25">
      <c r="A1995" t="s">
        <v>105</v>
      </c>
      <c r="B1995" t="s">
        <v>24</v>
      </c>
      <c r="C1995" t="s">
        <v>486</v>
      </c>
      <c r="D1995">
        <v>1.6879999999999999</v>
      </c>
    </row>
    <row r="1996" spans="1:4" x14ac:dyDescent="0.25">
      <c r="A1996" t="s">
        <v>105</v>
      </c>
      <c r="B1996" t="s">
        <v>24</v>
      </c>
      <c r="C1996" t="s">
        <v>487</v>
      </c>
      <c r="D1996">
        <v>1.6879999999999999</v>
      </c>
    </row>
    <row r="1997" spans="1:4" x14ac:dyDescent="0.25">
      <c r="A1997" t="s">
        <v>105</v>
      </c>
      <c r="B1997" t="s">
        <v>24</v>
      </c>
      <c r="C1997" t="s">
        <v>496</v>
      </c>
      <c r="D1997">
        <v>1.6879999999999999</v>
      </c>
    </row>
    <row r="1998" spans="1:4" x14ac:dyDescent="0.25">
      <c r="A1998" t="s">
        <v>105</v>
      </c>
      <c r="B1998" t="s">
        <v>24</v>
      </c>
      <c r="C1998" t="s">
        <v>499</v>
      </c>
      <c r="D1998">
        <v>1.6879999999999999</v>
      </c>
    </row>
    <row r="1999" spans="1:4" x14ac:dyDescent="0.25">
      <c r="A1999" t="s">
        <v>105</v>
      </c>
      <c r="B1999" t="s">
        <v>5</v>
      </c>
      <c r="C1999" t="s">
        <v>479</v>
      </c>
      <c r="D1999">
        <v>0.79400000000000004</v>
      </c>
    </row>
    <row r="2000" spans="1:4" x14ac:dyDescent="0.25">
      <c r="A2000" t="s">
        <v>105</v>
      </c>
      <c r="B2000" t="s">
        <v>5</v>
      </c>
      <c r="C2000" t="s">
        <v>481</v>
      </c>
      <c r="D2000">
        <v>0.79400000000000004</v>
      </c>
    </row>
    <row r="2001" spans="1:4" x14ac:dyDescent="0.25">
      <c r="A2001" t="s">
        <v>105</v>
      </c>
      <c r="B2001" t="s">
        <v>5</v>
      </c>
      <c r="C2001" t="s">
        <v>491</v>
      </c>
      <c r="D2001">
        <v>0.79400000000000004</v>
      </c>
    </row>
    <row r="2002" spans="1:4" x14ac:dyDescent="0.25">
      <c r="A2002" t="s">
        <v>105</v>
      </c>
      <c r="B2002" t="s">
        <v>5</v>
      </c>
      <c r="C2002" t="s">
        <v>492</v>
      </c>
      <c r="D2002">
        <v>0.79400000000000004</v>
      </c>
    </row>
    <row r="2003" spans="1:4" x14ac:dyDescent="0.25">
      <c r="A2003" t="s">
        <v>105</v>
      </c>
      <c r="B2003" t="s">
        <v>5</v>
      </c>
      <c r="C2003" t="s">
        <v>483</v>
      </c>
      <c r="D2003">
        <v>0.79400000000000004</v>
      </c>
    </row>
    <row r="2004" spans="1:4" x14ac:dyDescent="0.25">
      <c r="A2004" t="s">
        <v>105</v>
      </c>
      <c r="B2004" t="s">
        <v>5</v>
      </c>
      <c r="C2004" t="s">
        <v>493</v>
      </c>
      <c r="D2004">
        <v>0.79400000000000004</v>
      </c>
    </row>
    <row r="2005" spans="1:4" x14ac:dyDescent="0.25">
      <c r="A2005" t="s">
        <v>105</v>
      </c>
      <c r="B2005" t="s">
        <v>5</v>
      </c>
      <c r="C2005" t="s">
        <v>486</v>
      </c>
      <c r="D2005">
        <v>0.79400000000000004</v>
      </c>
    </row>
    <row r="2006" spans="1:4" x14ac:dyDescent="0.25">
      <c r="A2006" t="s">
        <v>105</v>
      </c>
      <c r="B2006" t="s">
        <v>5</v>
      </c>
      <c r="C2006" t="s">
        <v>487</v>
      </c>
      <c r="D2006">
        <v>0.79400000000000004</v>
      </c>
    </row>
    <row r="2007" spans="1:4" x14ac:dyDescent="0.25">
      <c r="A2007" t="s">
        <v>105</v>
      </c>
      <c r="B2007" t="s">
        <v>5</v>
      </c>
      <c r="C2007" t="s">
        <v>496</v>
      </c>
      <c r="D2007">
        <v>0.79400000000000004</v>
      </c>
    </row>
    <row r="2008" spans="1:4" x14ac:dyDescent="0.25">
      <c r="A2008" t="s">
        <v>105</v>
      </c>
      <c r="B2008" t="s">
        <v>5</v>
      </c>
      <c r="C2008" t="s">
        <v>499</v>
      </c>
      <c r="D2008">
        <v>0.79400000000000004</v>
      </c>
    </row>
    <row r="2009" spans="1:4" x14ac:dyDescent="0.25">
      <c r="A2009" t="s">
        <v>105</v>
      </c>
      <c r="B2009" t="s">
        <v>22</v>
      </c>
      <c r="C2009" t="s">
        <v>479</v>
      </c>
      <c r="D2009" s="2">
        <v>1.4999999999999999E-2</v>
      </c>
    </row>
    <row r="2010" spans="1:4" x14ac:dyDescent="0.25">
      <c r="A2010" t="s">
        <v>105</v>
      </c>
      <c r="B2010" t="s">
        <v>22</v>
      </c>
      <c r="C2010" t="s">
        <v>481</v>
      </c>
      <c r="D2010">
        <v>1.4999999999999999E-2</v>
      </c>
    </row>
    <row r="2011" spans="1:4" x14ac:dyDescent="0.25">
      <c r="A2011" t="s">
        <v>105</v>
      </c>
      <c r="B2011" t="s">
        <v>22</v>
      </c>
      <c r="C2011" t="s">
        <v>491</v>
      </c>
      <c r="D2011">
        <v>1.4999999999999999E-2</v>
      </c>
    </row>
    <row r="2012" spans="1:4" x14ac:dyDescent="0.25">
      <c r="A2012" t="s">
        <v>105</v>
      </c>
      <c r="B2012" t="s">
        <v>22</v>
      </c>
      <c r="C2012" t="s">
        <v>492</v>
      </c>
      <c r="D2012">
        <v>1.4999999999999999E-2</v>
      </c>
    </row>
    <row r="2013" spans="1:4" x14ac:dyDescent="0.25">
      <c r="A2013" t="s">
        <v>105</v>
      </c>
      <c r="B2013" t="s">
        <v>22</v>
      </c>
      <c r="C2013" t="s">
        <v>483</v>
      </c>
      <c r="D2013">
        <v>1.4999999999999999E-2</v>
      </c>
    </row>
    <row r="2014" spans="1:4" x14ac:dyDescent="0.25">
      <c r="A2014" t="s">
        <v>105</v>
      </c>
      <c r="B2014" t="s">
        <v>22</v>
      </c>
      <c r="C2014" t="s">
        <v>493</v>
      </c>
      <c r="D2014">
        <v>1.4999999999999999E-2</v>
      </c>
    </row>
    <row r="2015" spans="1:4" x14ac:dyDescent="0.25">
      <c r="A2015" t="s">
        <v>105</v>
      </c>
      <c r="B2015" t="s">
        <v>22</v>
      </c>
      <c r="C2015" t="s">
        <v>486</v>
      </c>
      <c r="D2015">
        <v>1.4999999999999999E-2</v>
      </c>
    </row>
    <row r="2016" spans="1:4" x14ac:dyDescent="0.25">
      <c r="A2016" t="s">
        <v>105</v>
      </c>
      <c r="B2016" t="s">
        <v>22</v>
      </c>
      <c r="C2016" t="s">
        <v>487</v>
      </c>
      <c r="D2016">
        <v>1.4999999999999999E-2</v>
      </c>
    </row>
    <row r="2017" spans="1:4" x14ac:dyDescent="0.25">
      <c r="A2017" t="s">
        <v>105</v>
      </c>
      <c r="B2017" t="s">
        <v>22</v>
      </c>
      <c r="C2017" t="s">
        <v>496</v>
      </c>
      <c r="D2017">
        <v>1.4999999999999999E-2</v>
      </c>
    </row>
    <row r="2018" spans="1:4" x14ac:dyDescent="0.25">
      <c r="A2018" t="s">
        <v>105</v>
      </c>
      <c r="B2018" t="s">
        <v>22</v>
      </c>
      <c r="C2018" t="s">
        <v>499</v>
      </c>
      <c r="D2018">
        <v>1.4999999999999999E-2</v>
      </c>
    </row>
    <row r="2019" spans="1:4" x14ac:dyDescent="0.25">
      <c r="A2019" t="s">
        <v>105</v>
      </c>
      <c r="B2019" t="s">
        <v>106</v>
      </c>
      <c r="C2019" t="s">
        <v>479</v>
      </c>
      <c r="D2019">
        <v>1</v>
      </c>
    </row>
    <row r="2020" spans="1:4" x14ac:dyDescent="0.25">
      <c r="A2020" t="s">
        <v>105</v>
      </c>
      <c r="B2020" t="s">
        <v>106</v>
      </c>
      <c r="C2020" t="s">
        <v>481</v>
      </c>
      <c r="D2020">
        <v>1</v>
      </c>
    </row>
    <row r="2021" spans="1:4" x14ac:dyDescent="0.25">
      <c r="A2021" t="s">
        <v>105</v>
      </c>
      <c r="B2021" t="s">
        <v>106</v>
      </c>
      <c r="C2021" t="s">
        <v>491</v>
      </c>
      <c r="D2021">
        <v>1</v>
      </c>
    </row>
    <row r="2022" spans="1:4" x14ac:dyDescent="0.25">
      <c r="A2022" t="s">
        <v>105</v>
      </c>
      <c r="B2022" t="s">
        <v>106</v>
      </c>
      <c r="C2022" t="s">
        <v>492</v>
      </c>
      <c r="D2022">
        <v>1</v>
      </c>
    </row>
    <row r="2023" spans="1:4" x14ac:dyDescent="0.25">
      <c r="A2023" t="s">
        <v>105</v>
      </c>
      <c r="B2023" t="s">
        <v>106</v>
      </c>
      <c r="C2023" t="s">
        <v>483</v>
      </c>
      <c r="D2023">
        <v>1</v>
      </c>
    </row>
    <row r="2024" spans="1:4" x14ac:dyDescent="0.25">
      <c r="A2024" t="s">
        <v>105</v>
      </c>
      <c r="B2024" t="s">
        <v>106</v>
      </c>
      <c r="C2024" t="s">
        <v>493</v>
      </c>
      <c r="D2024">
        <v>1</v>
      </c>
    </row>
    <row r="2025" spans="1:4" x14ac:dyDescent="0.25">
      <c r="A2025" t="s">
        <v>105</v>
      </c>
      <c r="B2025" t="s">
        <v>106</v>
      </c>
      <c r="C2025" t="s">
        <v>486</v>
      </c>
      <c r="D2025">
        <v>1</v>
      </c>
    </row>
    <row r="2026" spans="1:4" x14ac:dyDescent="0.25">
      <c r="A2026" t="s">
        <v>105</v>
      </c>
      <c r="B2026" t="s">
        <v>106</v>
      </c>
      <c r="C2026" t="s">
        <v>487</v>
      </c>
      <c r="D2026">
        <v>1</v>
      </c>
    </row>
    <row r="2027" spans="1:4" x14ac:dyDescent="0.25">
      <c r="A2027" t="s">
        <v>105</v>
      </c>
      <c r="B2027" t="s">
        <v>106</v>
      </c>
      <c r="C2027" t="s">
        <v>496</v>
      </c>
      <c r="D2027">
        <v>1</v>
      </c>
    </row>
    <row r="2028" spans="1:4" x14ac:dyDescent="0.25">
      <c r="A2028" t="s">
        <v>105</v>
      </c>
      <c r="B2028" t="s">
        <v>106</v>
      </c>
      <c r="C2028" t="s">
        <v>499</v>
      </c>
      <c r="D2028">
        <v>1</v>
      </c>
    </row>
    <row r="2029" spans="1:4" x14ac:dyDescent="0.25">
      <c r="A2029" t="s">
        <v>105</v>
      </c>
      <c r="B2029" t="s">
        <v>615</v>
      </c>
      <c r="C2029" t="s">
        <v>479</v>
      </c>
      <c r="D2029">
        <v>1.72E-2</v>
      </c>
    </row>
    <row r="2030" spans="1:4" x14ac:dyDescent="0.25">
      <c r="A2030" t="s">
        <v>105</v>
      </c>
      <c r="B2030" t="s">
        <v>615</v>
      </c>
      <c r="C2030" t="s">
        <v>481</v>
      </c>
      <c r="D2030">
        <v>1.72E-2</v>
      </c>
    </row>
    <row r="2031" spans="1:4" x14ac:dyDescent="0.25">
      <c r="A2031" t="s">
        <v>105</v>
      </c>
      <c r="B2031" t="s">
        <v>615</v>
      </c>
      <c r="C2031" t="s">
        <v>491</v>
      </c>
      <c r="D2031">
        <v>1.72E-2</v>
      </c>
    </row>
    <row r="2032" spans="1:4" x14ac:dyDescent="0.25">
      <c r="A2032" t="s">
        <v>105</v>
      </c>
      <c r="B2032" t="s">
        <v>615</v>
      </c>
      <c r="C2032" t="s">
        <v>492</v>
      </c>
      <c r="D2032">
        <v>1.72E-2</v>
      </c>
    </row>
    <row r="2033" spans="1:4" x14ac:dyDescent="0.25">
      <c r="A2033" t="s">
        <v>105</v>
      </c>
      <c r="B2033" t="s">
        <v>615</v>
      </c>
      <c r="C2033" t="s">
        <v>483</v>
      </c>
      <c r="D2033">
        <v>1.72E-2</v>
      </c>
    </row>
    <row r="2034" spans="1:4" x14ac:dyDescent="0.25">
      <c r="A2034" t="s">
        <v>105</v>
      </c>
      <c r="B2034" t="s">
        <v>615</v>
      </c>
      <c r="C2034" t="s">
        <v>493</v>
      </c>
      <c r="D2034">
        <v>2.1000000000000001E-2</v>
      </c>
    </row>
    <row r="2035" spans="1:4" x14ac:dyDescent="0.25">
      <c r="A2035" t="s">
        <v>105</v>
      </c>
      <c r="B2035" t="s">
        <v>615</v>
      </c>
      <c r="C2035" t="s">
        <v>486</v>
      </c>
      <c r="D2035">
        <v>2.29E-2</v>
      </c>
    </row>
    <row r="2036" spans="1:4" x14ac:dyDescent="0.25">
      <c r="A2036" t="s">
        <v>105</v>
      </c>
      <c r="B2036" t="s">
        <v>615</v>
      </c>
      <c r="C2036" t="s">
        <v>487</v>
      </c>
      <c r="D2036">
        <v>1.72E-2</v>
      </c>
    </row>
    <row r="2037" spans="1:4" x14ac:dyDescent="0.25">
      <c r="A2037" t="s">
        <v>105</v>
      </c>
      <c r="B2037" t="s">
        <v>615</v>
      </c>
      <c r="C2037" t="s">
        <v>496</v>
      </c>
      <c r="D2037">
        <v>1.5299999999999999E-2</v>
      </c>
    </row>
    <row r="2038" spans="1:4" x14ac:dyDescent="0.25">
      <c r="A2038" t="s">
        <v>105</v>
      </c>
      <c r="B2038" t="s">
        <v>615</v>
      </c>
      <c r="C2038" t="s">
        <v>499</v>
      </c>
      <c r="D2038">
        <v>2.1000000000000001E-2</v>
      </c>
    </row>
    <row r="2039" spans="1:4" x14ac:dyDescent="0.25">
      <c r="A2039" t="s">
        <v>105</v>
      </c>
      <c r="B2039" t="s">
        <v>67</v>
      </c>
      <c r="C2039" t="s">
        <v>479</v>
      </c>
      <c r="D2039">
        <v>0.45500000000000002</v>
      </c>
    </row>
    <row r="2040" spans="1:4" x14ac:dyDescent="0.25">
      <c r="A2040" t="s">
        <v>105</v>
      </c>
      <c r="B2040" t="s">
        <v>67</v>
      </c>
      <c r="C2040" t="s">
        <v>481</v>
      </c>
      <c r="D2040">
        <v>0.45500000000000002</v>
      </c>
    </row>
    <row r="2041" spans="1:4" x14ac:dyDescent="0.25">
      <c r="A2041" t="s">
        <v>105</v>
      </c>
      <c r="B2041" t="s">
        <v>67</v>
      </c>
      <c r="C2041" t="s">
        <v>491</v>
      </c>
      <c r="D2041">
        <v>0.45500000000000002</v>
      </c>
    </row>
    <row r="2042" spans="1:4" x14ac:dyDescent="0.25">
      <c r="A2042" t="s">
        <v>105</v>
      </c>
      <c r="B2042" t="s">
        <v>67</v>
      </c>
      <c r="C2042" t="s">
        <v>492</v>
      </c>
      <c r="D2042">
        <v>0.45500000000000002</v>
      </c>
    </row>
    <row r="2043" spans="1:4" x14ac:dyDescent="0.25">
      <c r="A2043" t="s">
        <v>105</v>
      </c>
      <c r="B2043" t="s">
        <v>67</v>
      </c>
      <c r="C2043" t="s">
        <v>483</v>
      </c>
      <c r="D2043">
        <v>0.45500000000000002</v>
      </c>
    </row>
    <row r="2044" spans="1:4" x14ac:dyDescent="0.25">
      <c r="A2044" t="s">
        <v>105</v>
      </c>
      <c r="B2044" t="s">
        <v>67</v>
      </c>
      <c r="C2044" t="s">
        <v>493</v>
      </c>
      <c r="D2044">
        <v>0.45500000000000002</v>
      </c>
    </row>
    <row r="2045" spans="1:4" x14ac:dyDescent="0.25">
      <c r="A2045" t="s">
        <v>105</v>
      </c>
      <c r="B2045" t="s">
        <v>67</v>
      </c>
      <c r="C2045" t="s">
        <v>486</v>
      </c>
      <c r="D2045">
        <v>0.45500000000000002</v>
      </c>
    </row>
    <row r="2046" spans="1:4" x14ac:dyDescent="0.25">
      <c r="A2046" t="s">
        <v>105</v>
      </c>
      <c r="B2046" t="s">
        <v>67</v>
      </c>
      <c r="C2046" t="s">
        <v>487</v>
      </c>
      <c r="D2046">
        <v>0.45500000000000002</v>
      </c>
    </row>
    <row r="2047" spans="1:4" x14ac:dyDescent="0.25">
      <c r="A2047" t="s">
        <v>105</v>
      </c>
      <c r="B2047" t="s">
        <v>67</v>
      </c>
      <c r="C2047" t="s">
        <v>496</v>
      </c>
      <c r="D2047">
        <v>0.45500000000000002</v>
      </c>
    </row>
    <row r="2048" spans="1:4" x14ac:dyDescent="0.25">
      <c r="A2048" t="s">
        <v>105</v>
      </c>
      <c r="B2048" t="s">
        <v>67</v>
      </c>
      <c r="C2048" t="s">
        <v>499</v>
      </c>
      <c r="D2048">
        <v>0.45500000000000002</v>
      </c>
    </row>
    <row r="2049" spans="1:4" x14ac:dyDescent="0.25">
      <c r="A2049" t="s">
        <v>122</v>
      </c>
      <c r="B2049" t="s">
        <v>92</v>
      </c>
      <c r="C2049" t="s">
        <v>479</v>
      </c>
      <c r="D2049">
        <v>3.99</v>
      </c>
    </row>
    <row r="2050" spans="1:4" x14ac:dyDescent="0.25">
      <c r="A2050" t="s">
        <v>122</v>
      </c>
      <c r="B2050" t="s">
        <v>92</v>
      </c>
      <c r="C2050" t="s">
        <v>481</v>
      </c>
      <c r="D2050">
        <v>3.6579999999999999</v>
      </c>
    </row>
    <row r="2051" spans="1:4" x14ac:dyDescent="0.25">
      <c r="A2051" t="s">
        <v>122</v>
      </c>
      <c r="B2051" t="s">
        <v>92</v>
      </c>
      <c r="C2051" t="s">
        <v>491</v>
      </c>
      <c r="D2051">
        <v>3.6579999999999999</v>
      </c>
    </row>
    <row r="2052" spans="1:4" x14ac:dyDescent="0.25">
      <c r="A2052" t="s">
        <v>122</v>
      </c>
      <c r="B2052" t="s">
        <v>92</v>
      </c>
      <c r="C2052" t="s">
        <v>492</v>
      </c>
      <c r="D2052">
        <v>3.6579999999999999</v>
      </c>
    </row>
    <row r="2053" spans="1:4" x14ac:dyDescent="0.25">
      <c r="A2053" t="s">
        <v>122</v>
      </c>
      <c r="B2053" t="s">
        <v>92</v>
      </c>
      <c r="C2053" t="s">
        <v>483</v>
      </c>
      <c r="D2053">
        <v>3.3250000000000002</v>
      </c>
    </row>
    <row r="2054" spans="1:4" x14ac:dyDescent="0.25">
      <c r="A2054" t="s">
        <v>122</v>
      </c>
      <c r="B2054" t="s">
        <v>92</v>
      </c>
      <c r="C2054" t="s">
        <v>486</v>
      </c>
      <c r="D2054">
        <v>3.3250000000000002</v>
      </c>
    </row>
    <row r="2055" spans="1:4" x14ac:dyDescent="0.25">
      <c r="A2055" t="s">
        <v>122</v>
      </c>
      <c r="B2055" t="s">
        <v>92</v>
      </c>
      <c r="C2055" t="s">
        <v>487</v>
      </c>
      <c r="D2055">
        <v>3.3250000000000002</v>
      </c>
    </row>
    <row r="2056" spans="1:4" x14ac:dyDescent="0.25">
      <c r="A2056" t="s">
        <v>122</v>
      </c>
      <c r="B2056" t="s">
        <v>92</v>
      </c>
      <c r="C2056" t="s">
        <v>493</v>
      </c>
      <c r="D2056">
        <v>3.3250000000000002</v>
      </c>
    </row>
    <row r="2057" spans="1:4" x14ac:dyDescent="0.25">
      <c r="A2057" t="s">
        <v>122</v>
      </c>
      <c r="B2057" t="s">
        <v>92</v>
      </c>
      <c r="C2057" t="s">
        <v>496</v>
      </c>
      <c r="D2057">
        <v>3.3250000000000002</v>
      </c>
    </row>
    <row r="2058" spans="1:4" x14ac:dyDescent="0.25">
      <c r="A2058" t="s">
        <v>122</v>
      </c>
      <c r="B2058" t="s">
        <v>92</v>
      </c>
      <c r="C2058" t="s">
        <v>499</v>
      </c>
      <c r="D2058">
        <v>3.3250000000000002</v>
      </c>
    </row>
    <row r="2059" spans="1:4" x14ac:dyDescent="0.25">
      <c r="A2059" t="s">
        <v>122</v>
      </c>
      <c r="B2059" t="s">
        <v>106</v>
      </c>
      <c r="C2059" t="s">
        <v>479</v>
      </c>
      <c r="D2059">
        <v>-1</v>
      </c>
    </row>
    <row r="2060" spans="1:4" x14ac:dyDescent="0.25">
      <c r="A2060" t="s">
        <v>122</v>
      </c>
      <c r="B2060" t="s">
        <v>106</v>
      </c>
      <c r="C2060" t="s">
        <v>481</v>
      </c>
      <c r="D2060">
        <v>-1</v>
      </c>
    </row>
    <row r="2061" spans="1:4" x14ac:dyDescent="0.25">
      <c r="A2061" t="s">
        <v>122</v>
      </c>
      <c r="B2061" t="s">
        <v>106</v>
      </c>
      <c r="C2061" t="s">
        <v>491</v>
      </c>
      <c r="D2061">
        <v>-1</v>
      </c>
    </row>
    <row r="2062" spans="1:4" x14ac:dyDescent="0.25">
      <c r="A2062" t="s">
        <v>122</v>
      </c>
      <c r="B2062" t="s">
        <v>106</v>
      </c>
      <c r="C2062" t="s">
        <v>492</v>
      </c>
      <c r="D2062">
        <v>-1</v>
      </c>
    </row>
    <row r="2063" spans="1:4" x14ac:dyDescent="0.25">
      <c r="A2063" t="s">
        <v>122</v>
      </c>
      <c r="B2063" t="s">
        <v>106</v>
      </c>
      <c r="C2063" t="s">
        <v>483</v>
      </c>
      <c r="D2063">
        <v>-1</v>
      </c>
    </row>
    <row r="2064" spans="1:4" x14ac:dyDescent="0.25">
      <c r="A2064" t="s">
        <v>122</v>
      </c>
      <c r="B2064" t="s">
        <v>106</v>
      </c>
      <c r="C2064" t="s">
        <v>486</v>
      </c>
      <c r="D2064">
        <v>-1</v>
      </c>
    </row>
    <row r="2065" spans="1:4" x14ac:dyDescent="0.25">
      <c r="A2065" t="s">
        <v>122</v>
      </c>
      <c r="B2065" t="s">
        <v>106</v>
      </c>
      <c r="C2065" t="s">
        <v>487</v>
      </c>
      <c r="D2065">
        <v>-1</v>
      </c>
    </row>
    <row r="2066" spans="1:4" x14ac:dyDescent="0.25">
      <c r="A2066" t="s">
        <v>122</v>
      </c>
      <c r="B2066" t="s">
        <v>106</v>
      </c>
      <c r="C2066" t="s">
        <v>493</v>
      </c>
      <c r="D2066">
        <v>-1</v>
      </c>
    </row>
    <row r="2067" spans="1:4" x14ac:dyDescent="0.25">
      <c r="A2067" t="s">
        <v>122</v>
      </c>
      <c r="B2067" t="s">
        <v>106</v>
      </c>
      <c r="C2067" t="s">
        <v>496</v>
      </c>
      <c r="D2067">
        <v>-1</v>
      </c>
    </row>
    <row r="2068" spans="1:4" x14ac:dyDescent="0.25">
      <c r="A2068" t="s">
        <v>122</v>
      </c>
      <c r="B2068" t="s">
        <v>106</v>
      </c>
      <c r="C2068" t="s">
        <v>499</v>
      </c>
      <c r="D2068">
        <v>-1</v>
      </c>
    </row>
    <row r="2069" spans="1:4" x14ac:dyDescent="0.25">
      <c r="A2069" t="s">
        <v>123</v>
      </c>
      <c r="B2069" t="s">
        <v>106</v>
      </c>
      <c r="C2069" t="s">
        <v>479</v>
      </c>
      <c r="D2069">
        <v>-1</v>
      </c>
    </row>
    <row r="2070" spans="1:4" x14ac:dyDescent="0.25">
      <c r="A2070" t="s">
        <v>123</v>
      </c>
      <c r="B2070" t="s">
        <v>106</v>
      </c>
      <c r="C2070" t="s">
        <v>481</v>
      </c>
      <c r="D2070">
        <v>-1</v>
      </c>
    </row>
    <row r="2071" spans="1:4" x14ac:dyDescent="0.25">
      <c r="A2071" t="s">
        <v>123</v>
      </c>
      <c r="B2071" t="s">
        <v>106</v>
      </c>
      <c r="C2071" t="s">
        <v>491</v>
      </c>
      <c r="D2071">
        <v>-1</v>
      </c>
    </row>
    <row r="2072" spans="1:4" x14ac:dyDescent="0.25">
      <c r="A2072" t="s">
        <v>123</v>
      </c>
      <c r="B2072" t="s">
        <v>106</v>
      </c>
      <c r="C2072" t="s">
        <v>492</v>
      </c>
      <c r="D2072">
        <v>-1</v>
      </c>
    </row>
    <row r="2073" spans="1:4" x14ac:dyDescent="0.25">
      <c r="A2073" t="s">
        <v>123</v>
      </c>
      <c r="B2073" t="s">
        <v>106</v>
      </c>
      <c r="C2073" t="s">
        <v>483</v>
      </c>
      <c r="D2073">
        <v>-1</v>
      </c>
    </row>
    <row r="2074" spans="1:4" x14ac:dyDescent="0.25">
      <c r="A2074" t="s">
        <v>123</v>
      </c>
      <c r="B2074" t="s">
        <v>106</v>
      </c>
      <c r="C2074" t="s">
        <v>486</v>
      </c>
      <c r="D2074">
        <v>-1</v>
      </c>
    </row>
    <row r="2075" spans="1:4" x14ac:dyDescent="0.25">
      <c r="A2075" t="s">
        <v>123</v>
      </c>
      <c r="B2075" t="s">
        <v>106</v>
      </c>
      <c r="C2075" t="s">
        <v>487</v>
      </c>
      <c r="D2075">
        <v>-1</v>
      </c>
    </row>
    <row r="2076" spans="1:4" x14ac:dyDescent="0.25">
      <c r="A2076" t="s">
        <v>123</v>
      </c>
      <c r="B2076" t="s">
        <v>106</v>
      </c>
      <c r="C2076" t="s">
        <v>493</v>
      </c>
      <c r="D2076">
        <v>-1</v>
      </c>
    </row>
    <row r="2077" spans="1:4" x14ac:dyDescent="0.25">
      <c r="A2077" t="s">
        <v>123</v>
      </c>
      <c r="B2077" t="s">
        <v>106</v>
      </c>
      <c r="C2077" t="s">
        <v>496</v>
      </c>
      <c r="D2077">
        <v>-1</v>
      </c>
    </row>
    <row r="2078" spans="1:4" x14ac:dyDescent="0.25">
      <c r="A2078" t="s">
        <v>123</v>
      </c>
      <c r="B2078" t="s">
        <v>106</v>
      </c>
      <c r="C2078" t="s">
        <v>499</v>
      </c>
      <c r="D2078">
        <v>-1</v>
      </c>
    </row>
    <row r="2079" spans="1:4" x14ac:dyDescent="0.25">
      <c r="A2079" t="s">
        <v>123</v>
      </c>
      <c r="B2079" t="s">
        <v>124</v>
      </c>
      <c r="C2079" t="s">
        <v>479</v>
      </c>
      <c r="D2079">
        <v>1</v>
      </c>
    </row>
    <row r="2080" spans="1:4" x14ac:dyDescent="0.25">
      <c r="A2080" t="s">
        <v>123</v>
      </c>
      <c r="B2080" t="s">
        <v>124</v>
      </c>
      <c r="C2080" t="s">
        <v>481</v>
      </c>
      <c r="D2080">
        <v>1</v>
      </c>
    </row>
    <row r="2081" spans="1:4" x14ac:dyDescent="0.25">
      <c r="A2081" t="s">
        <v>123</v>
      </c>
      <c r="B2081" t="s">
        <v>124</v>
      </c>
      <c r="C2081" t="s">
        <v>491</v>
      </c>
      <c r="D2081">
        <v>1</v>
      </c>
    </row>
    <row r="2082" spans="1:4" x14ac:dyDescent="0.25">
      <c r="A2082" t="s">
        <v>123</v>
      </c>
      <c r="B2082" t="s">
        <v>124</v>
      </c>
      <c r="C2082" t="s">
        <v>492</v>
      </c>
      <c r="D2082">
        <v>1</v>
      </c>
    </row>
    <row r="2083" spans="1:4" x14ac:dyDescent="0.25">
      <c r="A2083" t="s">
        <v>123</v>
      </c>
      <c r="B2083" t="s">
        <v>124</v>
      </c>
      <c r="C2083" t="s">
        <v>483</v>
      </c>
      <c r="D2083">
        <v>1</v>
      </c>
    </row>
    <row r="2084" spans="1:4" x14ac:dyDescent="0.25">
      <c r="A2084" t="s">
        <v>123</v>
      </c>
      <c r="B2084" t="s">
        <v>124</v>
      </c>
      <c r="C2084" t="s">
        <v>486</v>
      </c>
      <c r="D2084">
        <v>1</v>
      </c>
    </row>
    <row r="2085" spans="1:4" x14ac:dyDescent="0.25">
      <c r="A2085" t="s">
        <v>123</v>
      </c>
      <c r="B2085" t="s">
        <v>124</v>
      </c>
      <c r="C2085" t="s">
        <v>487</v>
      </c>
      <c r="D2085">
        <v>1</v>
      </c>
    </row>
    <row r="2086" spans="1:4" x14ac:dyDescent="0.25">
      <c r="A2086" t="s">
        <v>123</v>
      </c>
      <c r="B2086" t="s">
        <v>124</v>
      </c>
      <c r="C2086" t="s">
        <v>493</v>
      </c>
      <c r="D2086">
        <v>1</v>
      </c>
    </row>
    <row r="2087" spans="1:4" x14ac:dyDescent="0.25">
      <c r="A2087" t="s">
        <v>123</v>
      </c>
      <c r="B2087" t="s">
        <v>124</v>
      </c>
      <c r="C2087" t="s">
        <v>496</v>
      </c>
      <c r="D2087">
        <v>1</v>
      </c>
    </row>
    <row r="2088" spans="1:4" x14ac:dyDescent="0.25">
      <c r="A2088" t="s">
        <v>123</v>
      </c>
      <c r="B2088" t="s">
        <v>124</v>
      </c>
      <c r="C2088" t="s">
        <v>499</v>
      </c>
      <c r="D2088">
        <v>1</v>
      </c>
    </row>
    <row r="2089" spans="1:4" x14ac:dyDescent="0.25">
      <c r="A2089" t="s">
        <v>125</v>
      </c>
      <c r="B2089" t="s">
        <v>92</v>
      </c>
      <c r="C2089" t="s">
        <v>479</v>
      </c>
      <c r="D2089">
        <v>0.45600000000000002</v>
      </c>
    </row>
    <row r="2090" spans="1:4" x14ac:dyDescent="0.25">
      <c r="A2090" t="s">
        <v>125</v>
      </c>
      <c r="B2090" t="s">
        <v>92</v>
      </c>
      <c r="C2090" t="s">
        <v>481</v>
      </c>
      <c r="D2090">
        <v>0.41799999999999998</v>
      </c>
    </row>
    <row r="2091" spans="1:4" x14ac:dyDescent="0.25">
      <c r="A2091" t="s">
        <v>125</v>
      </c>
      <c r="B2091" t="s">
        <v>92</v>
      </c>
      <c r="C2091" t="s">
        <v>491</v>
      </c>
      <c r="D2091">
        <v>0.41799999999999998</v>
      </c>
    </row>
    <row r="2092" spans="1:4" x14ac:dyDescent="0.25">
      <c r="A2092" t="s">
        <v>125</v>
      </c>
      <c r="B2092" t="s">
        <v>92</v>
      </c>
      <c r="C2092" t="s">
        <v>492</v>
      </c>
      <c r="D2092">
        <v>0.41799999999999998</v>
      </c>
    </row>
    <row r="2093" spans="1:4" x14ac:dyDescent="0.25">
      <c r="A2093" t="s">
        <v>125</v>
      </c>
      <c r="B2093" t="s">
        <v>92</v>
      </c>
      <c r="C2093" t="s">
        <v>483</v>
      </c>
      <c r="D2093">
        <v>0.308</v>
      </c>
    </row>
    <row r="2094" spans="1:4" x14ac:dyDescent="0.25">
      <c r="A2094" t="s">
        <v>125</v>
      </c>
      <c r="B2094" t="s">
        <v>92</v>
      </c>
      <c r="C2094" t="s">
        <v>486</v>
      </c>
      <c r="D2094">
        <v>0.308</v>
      </c>
    </row>
    <row r="2095" spans="1:4" x14ac:dyDescent="0.25">
      <c r="A2095" t="s">
        <v>125</v>
      </c>
      <c r="B2095" t="s">
        <v>92</v>
      </c>
      <c r="C2095" t="s">
        <v>487</v>
      </c>
      <c r="D2095">
        <v>0.308</v>
      </c>
    </row>
    <row r="2096" spans="1:4" x14ac:dyDescent="0.25">
      <c r="A2096" t="s">
        <v>125</v>
      </c>
      <c r="B2096" t="s">
        <v>92</v>
      </c>
      <c r="C2096" t="s">
        <v>493</v>
      </c>
      <c r="D2096">
        <v>0.308</v>
      </c>
    </row>
    <row r="2097" spans="1:4" x14ac:dyDescent="0.25">
      <c r="A2097" t="s">
        <v>125</v>
      </c>
      <c r="B2097" t="s">
        <v>92</v>
      </c>
      <c r="C2097" t="s">
        <v>496</v>
      </c>
      <c r="D2097">
        <v>0.308</v>
      </c>
    </row>
    <row r="2098" spans="1:4" x14ac:dyDescent="0.25">
      <c r="A2098" t="s">
        <v>125</v>
      </c>
      <c r="B2098" t="s">
        <v>92</v>
      </c>
      <c r="C2098" t="s">
        <v>499</v>
      </c>
      <c r="D2098">
        <v>0.308</v>
      </c>
    </row>
    <row r="2099" spans="1:4" x14ac:dyDescent="0.25">
      <c r="A2099" t="s">
        <v>125</v>
      </c>
      <c r="B2099" t="s">
        <v>104</v>
      </c>
      <c r="C2099" t="s">
        <v>479</v>
      </c>
      <c r="D2099">
        <v>-1</v>
      </c>
    </row>
    <row r="2100" spans="1:4" x14ac:dyDescent="0.25">
      <c r="A2100" t="s">
        <v>125</v>
      </c>
      <c r="B2100" t="s">
        <v>104</v>
      </c>
      <c r="C2100" t="s">
        <v>481</v>
      </c>
      <c r="D2100">
        <v>-1</v>
      </c>
    </row>
    <row r="2101" spans="1:4" x14ac:dyDescent="0.25">
      <c r="A2101" t="s">
        <v>125</v>
      </c>
      <c r="B2101" t="s">
        <v>104</v>
      </c>
      <c r="C2101" t="s">
        <v>491</v>
      </c>
      <c r="D2101">
        <v>-1</v>
      </c>
    </row>
    <row r="2102" spans="1:4" x14ac:dyDescent="0.25">
      <c r="A2102" t="s">
        <v>125</v>
      </c>
      <c r="B2102" t="s">
        <v>104</v>
      </c>
      <c r="C2102" t="s">
        <v>492</v>
      </c>
      <c r="D2102">
        <v>-1</v>
      </c>
    </row>
    <row r="2103" spans="1:4" x14ac:dyDescent="0.25">
      <c r="A2103" t="s">
        <v>125</v>
      </c>
      <c r="B2103" t="s">
        <v>104</v>
      </c>
      <c r="C2103" t="s">
        <v>483</v>
      </c>
      <c r="D2103">
        <v>-1</v>
      </c>
    </row>
    <row r="2104" spans="1:4" x14ac:dyDescent="0.25">
      <c r="A2104" t="s">
        <v>125</v>
      </c>
      <c r="B2104" t="s">
        <v>104</v>
      </c>
      <c r="C2104" t="s">
        <v>486</v>
      </c>
      <c r="D2104">
        <v>-1</v>
      </c>
    </row>
    <row r="2105" spans="1:4" x14ac:dyDescent="0.25">
      <c r="A2105" t="s">
        <v>125</v>
      </c>
      <c r="B2105" t="s">
        <v>104</v>
      </c>
      <c r="C2105" t="s">
        <v>487</v>
      </c>
      <c r="D2105">
        <v>-1</v>
      </c>
    </row>
    <row r="2106" spans="1:4" x14ac:dyDescent="0.25">
      <c r="A2106" t="s">
        <v>125</v>
      </c>
      <c r="B2106" t="s">
        <v>104</v>
      </c>
      <c r="C2106" t="s">
        <v>493</v>
      </c>
      <c r="D2106">
        <v>-1</v>
      </c>
    </row>
    <row r="2107" spans="1:4" x14ac:dyDescent="0.25">
      <c r="A2107" t="s">
        <v>125</v>
      </c>
      <c r="B2107" t="s">
        <v>104</v>
      </c>
      <c r="C2107" t="s">
        <v>496</v>
      </c>
      <c r="D2107">
        <v>-1</v>
      </c>
    </row>
    <row r="2108" spans="1:4" x14ac:dyDescent="0.25">
      <c r="A2108" t="s">
        <v>125</v>
      </c>
      <c r="B2108" t="s">
        <v>104</v>
      </c>
      <c r="C2108" t="s">
        <v>499</v>
      </c>
      <c r="D2108">
        <v>-1</v>
      </c>
    </row>
    <row r="2109" spans="1:4" x14ac:dyDescent="0.25">
      <c r="A2109" t="s">
        <v>126</v>
      </c>
      <c r="B2109" t="s">
        <v>104</v>
      </c>
      <c r="C2109" t="s">
        <v>479</v>
      </c>
      <c r="D2109">
        <v>-1</v>
      </c>
    </row>
    <row r="2110" spans="1:4" x14ac:dyDescent="0.25">
      <c r="A2110" t="s">
        <v>126</v>
      </c>
      <c r="B2110" t="s">
        <v>104</v>
      </c>
      <c r="C2110" t="s">
        <v>481</v>
      </c>
      <c r="D2110">
        <v>-1</v>
      </c>
    </row>
    <row r="2111" spans="1:4" x14ac:dyDescent="0.25">
      <c r="A2111" t="s">
        <v>126</v>
      </c>
      <c r="B2111" t="s">
        <v>104</v>
      </c>
      <c r="C2111" t="s">
        <v>491</v>
      </c>
      <c r="D2111">
        <v>-1</v>
      </c>
    </row>
    <row r="2112" spans="1:4" x14ac:dyDescent="0.25">
      <c r="A2112" t="s">
        <v>126</v>
      </c>
      <c r="B2112" t="s">
        <v>104</v>
      </c>
      <c r="C2112" t="s">
        <v>492</v>
      </c>
      <c r="D2112">
        <v>-1</v>
      </c>
    </row>
    <row r="2113" spans="1:4" x14ac:dyDescent="0.25">
      <c r="A2113" t="s">
        <v>126</v>
      </c>
      <c r="B2113" t="s">
        <v>104</v>
      </c>
      <c r="C2113" t="s">
        <v>483</v>
      </c>
      <c r="D2113">
        <v>-1</v>
      </c>
    </row>
    <row r="2114" spans="1:4" x14ac:dyDescent="0.25">
      <c r="A2114" t="s">
        <v>126</v>
      </c>
      <c r="B2114" t="s">
        <v>104</v>
      </c>
      <c r="C2114" t="s">
        <v>486</v>
      </c>
      <c r="D2114">
        <v>-1</v>
      </c>
    </row>
    <row r="2115" spans="1:4" x14ac:dyDescent="0.25">
      <c r="A2115" t="s">
        <v>126</v>
      </c>
      <c r="B2115" t="s">
        <v>104</v>
      </c>
      <c r="C2115" t="s">
        <v>487</v>
      </c>
      <c r="D2115">
        <v>-1</v>
      </c>
    </row>
    <row r="2116" spans="1:4" x14ac:dyDescent="0.25">
      <c r="A2116" t="s">
        <v>126</v>
      </c>
      <c r="B2116" t="s">
        <v>104</v>
      </c>
      <c r="C2116" t="s">
        <v>493</v>
      </c>
      <c r="D2116">
        <v>-1</v>
      </c>
    </row>
    <row r="2117" spans="1:4" x14ac:dyDescent="0.25">
      <c r="A2117" t="s">
        <v>126</v>
      </c>
      <c r="B2117" t="s">
        <v>104</v>
      </c>
      <c r="C2117" t="s">
        <v>496</v>
      </c>
      <c r="D2117">
        <v>-1</v>
      </c>
    </row>
    <row r="2118" spans="1:4" x14ac:dyDescent="0.25">
      <c r="A2118" t="s">
        <v>126</v>
      </c>
      <c r="B2118" t="s">
        <v>104</v>
      </c>
      <c r="C2118" t="s">
        <v>499</v>
      </c>
      <c r="D2118">
        <v>-1</v>
      </c>
    </row>
    <row r="2119" spans="1:4" x14ac:dyDescent="0.25">
      <c r="A2119" t="s">
        <v>126</v>
      </c>
      <c r="B2119" t="s">
        <v>127</v>
      </c>
      <c r="C2119" t="s">
        <v>479</v>
      </c>
      <c r="D2119">
        <v>1</v>
      </c>
    </row>
    <row r="2120" spans="1:4" x14ac:dyDescent="0.25">
      <c r="A2120" t="s">
        <v>126</v>
      </c>
      <c r="B2120" t="s">
        <v>127</v>
      </c>
      <c r="C2120" t="s">
        <v>481</v>
      </c>
      <c r="D2120">
        <v>1</v>
      </c>
    </row>
    <row r="2121" spans="1:4" x14ac:dyDescent="0.25">
      <c r="A2121" t="s">
        <v>126</v>
      </c>
      <c r="B2121" t="s">
        <v>127</v>
      </c>
      <c r="C2121" t="s">
        <v>491</v>
      </c>
      <c r="D2121">
        <v>1</v>
      </c>
    </row>
    <row r="2122" spans="1:4" x14ac:dyDescent="0.25">
      <c r="A2122" t="s">
        <v>126</v>
      </c>
      <c r="B2122" t="s">
        <v>127</v>
      </c>
      <c r="C2122" t="s">
        <v>492</v>
      </c>
      <c r="D2122">
        <v>1</v>
      </c>
    </row>
    <row r="2123" spans="1:4" x14ac:dyDescent="0.25">
      <c r="A2123" t="s">
        <v>126</v>
      </c>
      <c r="B2123" t="s">
        <v>127</v>
      </c>
      <c r="C2123" t="s">
        <v>483</v>
      </c>
      <c r="D2123">
        <v>1</v>
      </c>
    </row>
    <row r="2124" spans="1:4" x14ac:dyDescent="0.25">
      <c r="A2124" t="s">
        <v>126</v>
      </c>
      <c r="B2124" t="s">
        <v>127</v>
      </c>
      <c r="C2124" t="s">
        <v>486</v>
      </c>
      <c r="D2124">
        <v>1</v>
      </c>
    </row>
    <row r="2125" spans="1:4" x14ac:dyDescent="0.25">
      <c r="A2125" t="s">
        <v>126</v>
      </c>
      <c r="B2125" t="s">
        <v>127</v>
      </c>
      <c r="C2125" t="s">
        <v>487</v>
      </c>
      <c r="D2125">
        <v>1</v>
      </c>
    </row>
    <row r="2126" spans="1:4" x14ac:dyDescent="0.25">
      <c r="A2126" t="s">
        <v>126</v>
      </c>
      <c r="B2126" t="s">
        <v>127</v>
      </c>
      <c r="C2126" t="s">
        <v>493</v>
      </c>
      <c r="D2126">
        <v>1</v>
      </c>
    </row>
    <row r="2127" spans="1:4" x14ac:dyDescent="0.25">
      <c r="A2127" t="s">
        <v>126</v>
      </c>
      <c r="B2127" t="s">
        <v>127</v>
      </c>
      <c r="C2127" t="s">
        <v>496</v>
      </c>
      <c r="D2127">
        <v>1</v>
      </c>
    </row>
    <row r="2128" spans="1:4" x14ac:dyDescent="0.25">
      <c r="A2128" t="s">
        <v>126</v>
      </c>
      <c r="B2128" t="s">
        <v>127</v>
      </c>
      <c r="C2128" t="s">
        <v>499</v>
      </c>
      <c r="D2128">
        <v>1</v>
      </c>
    </row>
    <row r="2129" spans="1:4" x14ac:dyDescent="0.25">
      <c r="A2129" t="s">
        <v>352</v>
      </c>
      <c r="B2129" t="s">
        <v>509</v>
      </c>
      <c r="C2129" t="s">
        <v>483</v>
      </c>
      <c r="D2129">
        <v>1</v>
      </c>
    </row>
    <row r="2130" spans="1:4" x14ac:dyDescent="0.25">
      <c r="A2130" t="s">
        <v>352</v>
      </c>
      <c r="B2130" t="s">
        <v>509</v>
      </c>
      <c r="C2130" t="s">
        <v>493</v>
      </c>
      <c r="D2130">
        <v>1</v>
      </c>
    </row>
    <row r="2131" spans="1:4" x14ac:dyDescent="0.25">
      <c r="A2131" t="s">
        <v>352</v>
      </c>
      <c r="B2131" t="s">
        <v>509</v>
      </c>
      <c r="C2131" t="s">
        <v>486</v>
      </c>
      <c r="D2131">
        <v>1</v>
      </c>
    </row>
    <row r="2132" spans="1:4" x14ac:dyDescent="0.25">
      <c r="A2132" t="s">
        <v>352</v>
      </c>
      <c r="B2132" t="s">
        <v>509</v>
      </c>
      <c r="C2132" t="s">
        <v>487</v>
      </c>
      <c r="D2132">
        <v>1</v>
      </c>
    </row>
    <row r="2133" spans="1:4" x14ac:dyDescent="0.25">
      <c r="A2133" t="s">
        <v>352</v>
      </c>
      <c r="B2133" t="s">
        <v>509</v>
      </c>
      <c r="C2133" t="s">
        <v>496</v>
      </c>
      <c r="D2133">
        <v>1</v>
      </c>
    </row>
    <row r="2134" spans="1:4" x14ac:dyDescent="0.25">
      <c r="A2134" t="s">
        <v>352</v>
      </c>
      <c r="B2134" t="s">
        <v>509</v>
      </c>
      <c r="C2134" t="s">
        <v>499</v>
      </c>
      <c r="D2134">
        <v>1</v>
      </c>
    </row>
    <row r="2135" spans="1:4" x14ac:dyDescent="0.25">
      <c r="A2135" t="s">
        <v>352</v>
      </c>
      <c r="B2135" t="s">
        <v>615</v>
      </c>
      <c r="C2135" t="s">
        <v>479</v>
      </c>
      <c r="D2135">
        <v>3.3E-3</v>
      </c>
    </row>
    <row r="2136" spans="1:4" x14ac:dyDescent="0.25">
      <c r="A2136" t="s">
        <v>352</v>
      </c>
      <c r="B2136" t="s">
        <v>615</v>
      </c>
      <c r="C2136" t="s">
        <v>481</v>
      </c>
      <c r="D2136">
        <v>3.3E-3</v>
      </c>
    </row>
    <row r="2137" spans="1:4" x14ac:dyDescent="0.25">
      <c r="A2137" t="s">
        <v>352</v>
      </c>
      <c r="B2137" t="s">
        <v>615</v>
      </c>
      <c r="C2137" t="s">
        <v>491</v>
      </c>
      <c r="D2137">
        <v>3.3E-3</v>
      </c>
    </row>
    <row r="2138" spans="1:4" x14ac:dyDescent="0.25">
      <c r="A2138" t="s">
        <v>352</v>
      </c>
      <c r="B2138" t="s">
        <v>615</v>
      </c>
      <c r="C2138" t="s">
        <v>492</v>
      </c>
      <c r="D2138">
        <v>3.3E-3</v>
      </c>
    </row>
    <row r="2139" spans="1:4" x14ac:dyDescent="0.25">
      <c r="A2139" t="s">
        <v>352</v>
      </c>
      <c r="B2139" t="s">
        <v>615</v>
      </c>
      <c r="C2139" t="s">
        <v>483</v>
      </c>
      <c r="D2139">
        <v>3.3E-3</v>
      </c>
    </row>
    <row r="2140" spans="1:4" x14ac:dyDescent="0.25">
      <c r="A2140" t="s">
        <v>352</v>
      </c>
      <c r="B2140" t="s">
        <v>615</v>
      </c>
      <c r="C2140" t="s">
        <v>493</v>
      </c>
      <c r="D2140">
        <v>4.0000000000000001E-3</v>
      </c>
    </row>
    <row r="2141" spans="1:4" x14ac:dyDescent="0.25">
      <c r="A2141" t="s">
        <v>352</v>
      </c>
      <c r="B2141" t="s">
        <v>615</v>
      </c>
      <c r="C2141" t="s">
        <v>486</v>
      </c>
      <c r="D2141">
        <v>4.4000000000000003E-3</v>
      </c>
    </row>
    <row r="2142" spans="1:4" x14ac:dyDescent="0.25">
      <c r="A2142" t="s">
        <v>352</v>
      </c>
      <c r="B2142" t="s">
        <v>615</v>
      </c>
      <c r="C2142" t="s">
        <v>487</v>
      </c>
      <c r="D2142">
        <v>3.3E-3</v>
      </c>
    </row>
    <row r="2143" spans="1:4" x14ac:dyDescent="0.25">
      <c r="A2143" t="s">
        <v>352</v>
      </c>
      <c r="B2143" t="s">
        <v>615</v>
      </c>
      <c r="C2143" t="s">
        <v>496</v>
      </c>
      <c r="D2143">
        <v>2.8999999999999998E-3</v>
      </c>
    </row>
    <row r="2144" spans="1:4" x14ac:dyDescent="0.25">
      <c r="A2144" t="s">
        <v>352</v>
      </c>
      <c r="B2144" t="s">
        <v>615</v>
      </c>
      <c r="C2144" t="s">
        <v>499</v>
      </c>
      <c r="D2144">
        <v>4.0000000000000001E-3</v>
      </c>
    </row>
    <row r="2145" spans="1:4" x14ac:dyDescent="0.25">
      <c r="A2145" t="s">
        <v>352</v>
      </c>
      <c r="B2145" t="s">
        <v>67</v>
      </c>
      <c r="C2145" t="s">
        <v>479</v>
      </c>
      <c r="D2145">
        <v>0.33300000000000002</v>
      </c>
    </row>
    <row r="2146" spans="1:4" x14ac:dyDescent="0.25">
      <c r="A2146" t="s">
        <v>352</v>
      </c>
      <c r="B2146" t="s">
        <v>67</v>
      </c>
      <c r="C2146" t="s">
        <v>481</v>
      </c>
      <c r="D2146">
        <v>0.33300000000000002</v>
      </c>
    </row>
    <row r="2147" spans="1:4" x14ac:dyDescent="0.25">
      <c r="A2147" t="s">
        <v>352</v>
      </c>
      <c r="B2147" t="s">
        <v>67</v>
      </c>
      <c r="C2147" t="s">
        <v>491</v>
      </c>
      <c r="D2147">
        <v>0.33300000000000002</v>
      </c>
    </row>
    <row r="2148" spans="1:4" x14ac:dyDescent="0.25">
      <c r="A2148" t="s">
        <v>352</v>
      </c>
      <c r="B2148" t="s">
        <v>67</v>
      </c>
      <c r="C2148" t="s">
        <v>492</v>
      </c>
      <c r="D2148">
        <v>0.33300000000000002</v>
      </c>
    </row>
    <row r="2149" spans="1:4" x14ac:dyDescent="0.25">
      <c r="A2149" t="s">
        <v>352</v>
      </c>
      <c r="B2149" t="s">
        <v>67</v>
      </c>
      <c r="C2149" t="s">
        <v>483</v>
      </c>
      <c r="D2149">
        <v>0.33300000000000002</v>
      </c>
    </row>
    <row r="2150" spans="1:4" x14ac:dyDescent="0.25">
      <c r="A2150" t="s">
        <v>352</v>
      </c>
      <c r="B2150" t="s">
        <v>67</v>
      </c>
      <c r="C2150" t="s">
        <v>493</v>
      </c>
      <c r="D2150">
        <v>0.33300000000000002</v>
      </c>
    </row>
    <row r="2151" spans="1:4" x14ac:dyDescent="0.25">
      <c r="A2151" t="s">
        <v>352</v>
      </c>
      <c r="B2151" t="s">
        <v>67</v>
      </c>
      <c r="C2151" t="s">
        <v>486</v>
      </c>
      <c r="D2151">
        <v>0.33300000000000002</v>
      </c>
    </row>
    <row r="2152" spans="1:4" x14ac:dyDescent="0.25">
      <c r="A2152" t="s">
        <v>352</v>
      </c>
      <c r="B2152" t="s">
        <v>67</v>
      </c>
      <c r="C2152" t="s">
        <v>487</v>
      </c>
      <c r="D2152">
        <v>0.33300000000000002</v>
      </c>
    </row>
    <row r="2153" spans="1:4" x14ac:dyDescent="0.25">
      <c r="A2153" t="s">
        <v>352</v>
      </c>
      <c r="B2153" t="s">
        <v>67</v>
      </c>
      <c r="C2153" t="s">
        <v>496</v>
      </c>
      <c r="D2153">
        <v>0.33300000000000002</v>
      </c>
    </row>
    <row r="2154" spans="1:4" x14ac:dyDescent="0.25">
      <c r="A2154" t="s">
        <v>352</v>
      </c>
      <c r="B2154" t="s">
        <v>67</v>
      </c>
      <c r="C2154" t="s">
        <v>499</v>
      </c>
      <c r="D2154">
        <v>0.33300000000000002</v>
      </c>
    </row>
    <row r="2155" spans="1:4" x14ac:dyDescent="0.25">
      <c r="A2155" t="s">
        <v>86</v>
      </c>
      <c r="B2155" t="s">
        <v>79</v>
      </c>
      <c r="C2155" t="s">
        <v>483</v>
      </c>
      <c r="D2155">
        <v>0.34599999999999997</v>
      </c>
    </row>
  </sheetData>
  <autoFilter ref="A1:D2155" xr:uid="{D959A23A-6549-4BFB-8CFE-8BFCAC8B0CB4}">
    <sortState xmlns:xlrd2="http://schemas.microsoft.com/office/spreadsheetml/2017/richdata2" ref="A1111:D1128">
      <sortCondition ref="A1:A2154"/>
    </sortState>
  </autoFilter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8E327-ABF8-4EDA-AC3F-CA18C56BB80A}">
  <dimension ref="A1:B40"/>
  <sheetViews>
    <sheetView workbookViewId="0">
      <selection activeCell="A9" sqref="A9"/>
    </sheetView>
  </sheetViews>
  <sheetFormatPr defaultRowHeight="15" x14ac:dyDescent="0.25"/>
  <cols>
    <col min="1" max="1" width="12.7109375" bestFit="1" customWidth="1"/>
  </cols>
  <sheetData>
    <row r="1" spans="1:2" x14ac:dyDescent="0.25">
      <c r="A1" t="s">
        <v>1</v>
      </c>
      <c r="B1" t="s">
        <v>345</v>
      </c>
    </row>
    <row r="2" spans="1:2" x14ac:dyDescent="0.25">
      <c r="A2" t="s">
        <v>21</v>
      </c>
      <c r="B2">
        <v>0.44</v>
      </c>
    </row>
    <row r="3" spans="1:2" x14ac:dyDescent="0.25">
      <c r="A3" t="s">
        <v>393</v>
      </c>
      <c r="B3">
        <v>0.44</v>
      </c>
    </row>
    <row r="4" spans="1:2" x14ac:dyDescent="0.25">
      <c r="A4" t="s">
        <v>177</v>
      </c>
      <c r="B4">
        <v>0.44</v>
      </c>
    </row>
    <row r="5" spans="1:2" x14ac:dyDescent="0.25">
      <c r="A5" t="s">
        <v>75</v>
      </c>
      <c r="B5">
        <v>0.2</v>
      </c>
    </row>
    <row r="6" spans="1:2" x14ac:dyDescent="0.25">
      <c r="A6" t="s">
        <v>614</v>
      </c>
      <c r="B6">
        <v>0.2</v>
      </c>
    </row>
    <row r="7" spans="1:2" x14ac:dyDescent="0.25">
      <c r="A7" t="s">
        <v>41</v>
      </c>
      <c r="B7">
        <v>0.2</v>
      </c>
    </row>
    <row r="8" spans="1:2" x14ac:dyDescent="0.25">
      <c r="A8" t="s">
        <v>20</v>
      </c>
      <c r="B8">
        <v>0.1</v>
      </c>
    </row>
    <row r="9" spans="1:2" x14ac:dyDescent="0.25">
      <c r="A9" t="s">
        <v>63</v>
      </c>
      <c r="B9">
        <v>0.1</v>
      </c>
    </row>
    <row r="10" spans="1:2" x14ac:dyDescent="0.25">
      <c r="A10" t="s">
        <v>42</v>
      </c>
      <c r="B10">
        <v>0.2</v>
      </c>
    </row>
    <row r="11" spans="1:2" x14ac:dyDescent="0.25">
      <c r="A11" t="s">
        <v>38</v>
      </c>
      <c r="B11">
        <v>0.4</v>
      </c>
    </row>
    <row r="12" spans="1:2" x14ac:dyDescent="0.25">
      <c r="A12" t="s">
        <v>78</v>
      </c>
      <c r="B12">
        <v>0.2</v>
      </c>
    </row>
    <row r="13" spans="1:2" x14ac:dyDescent="0.25">
      <c r="A13" t="s">
        <v>311</v>
      </c>
      <c r="B13">
        <v>0.2</v>
      </c>
    </row>
    <row r="14" spans="1:2" x14ac:dyDescent="0.25">
      <c r="A14" t="s">
        <v>267</v>
      </c>
      <c r="B14">
        <v>0.2</v>
      </c>
    </row>
    <row r="15" spans="1:2" x14ac:dyDescent="0.25">
      <c r="A15" t="s">
        <v>270</v>
      </c>
      <c r="B15">
        <v>0.2</v>
      </c>
    </row>
    <row r="16" spans="1:2" x14ac:dyDescent="0.25">
      <c r="A16" t="s">
        <v>72</v>
      </c>
      <c r="B16">
        <v>0.25</v>
      </c>
    </row>
    <row r="17" spans="1:2" x14ac:dyDescent="0.25">
      <c r="A17" t="s">
        <v>80</v>
      </c>
      <c r="B17">
        <v>0.25</v>
      </c>
    </row>
    <row r="18" spans="1:2" x14ac:dyDescent="0.25">
      <c r="A18" t="s">
        <v>96</v>
      </c>
      <c r="B18">
        <v>0.1</v>
      </c>
    </row>
    <row r="19" spans="1:2" x14ac:dyDescent="0.25">
      <c r="A19" t="s">
        <v>100</v>
      </c>
      <c r="B19">
        <v>0.48</v>
      </c>
    </row>
    <row r="20" spans="1:2" x14ac:dyDescent="0.25">
      <c r="A20" t="s">
        <v>91</v>
      </c>
      <c r="B20">
        <v>0.48</v>
      </c>
    </row>
    <row r="21" spans="1:2" x14ac:dyDescent="0.25">
      <c r="A21" t="s">
        <v>394</v>
      </c>
      <c r="B21">
        <v>0.48</v>
      </c>
    </row>
    <row r="22" spans="1:2" x14ac:dyDescent="0.25">
      <c r="A22" t="s">
        <v>395</v>
      </c>
      <c r="B22">
        <v>0.48</v>
      </c>
    </row>
    <row r="23" spans="1:2" x14ac:dyDescent="0.25">
      <c r="A23" t="s">
        <v>396</v>
      </c>
      <c r="B23">
        <v>0.48</v>
      </c>
    </row>
    <row r="24" spans="1:2" x14ac:dyDescent="0.25">
      <c r="A24" t="s">
        <v>271</v>
      </c>
      <c r="B24">
        <v>0.48</v>
      </c>
    </row>
    <row r="25" spans="1:2" x14ac:dyDescent="0.25">
      <c r="A25" t="s">
        <v>272</v>
      </c>
      <c r="B25">
        <v>0.48</v>
      </c>
    </row>
    <row r="26" spans="1:2" x14ac:dyDescent="0.25">
      <c r="A26" t="s">
        <v>397</v>
      </c>
      <c r="B26">
        <v>0.48</v>
      </c>
    </row>
    <row r="27" spans="1:2" x14ac:dyDescent="0.25">
      <c r="A27" t="s">
        <v>273</v>
      </c>
      <c r="B27">
        <v>0.48</v>
      </c>
    </row>
    <row r="28" spans="1:2" x14ac:dyDescent="0.25">
      <c r="A28" t="s">
        <v>275</v>
      </c>
      <c r="B28">
        <v>0.48</v>
      </c>
    </row>
    <row r="29" spans="1:2" x14ac:dyDescent="0.25">
      <c r="A29" t="s">
        <v>276</v>
      </c>
      <c r="B29">
        <v>0.48</v>
      </c>
    </row>
    <row r="30" spans="1:2" x14ac:dyDescent="0.25">
      <c r="A30" t="s">
        <v>277</v>
      </c>
      <c r="B30">
        <v>0.48</v>
      </c>
    </row>
    <row r="31" spans="1:2" x14ac:dyDescent="0.25">
      <c r="A31" t="s">
        <v>400</v>
      </c>
      <c r="B31">
        <v>0.2</v>
      </c>
    </row>
    <row r="32" spans="1:2" x14ac:dyDescent="0.25">
      <c r="A32" t="s">
        <v>274</v>
      </c>
      <c r="B32">
        <v>0.48</v>
      </c>
    </row>
    <row r="33" spans="1:2" x14ac:dyDescent="0.25">
      <c r="A33" t="s">
        <v>62</v>
      </c>
      <c r="B33">
        <v>0.96</v>
      </c>
    </row>
    <row r="34" spans="1:2" x14ac:dyDescent="0.25">
      <c r="A34" t="s">
        <v>88</v>
      </c>
      <c r="B34">
        <v>0.96</v>
      </c>
    </row>
    <row r="35" spans="1:2" x14ac:dyDescent="0.25">
      <c r="A35" t="s">
        <v>69</v>
      </c>
      <c r="B35">
        <v>0.96</v>
      </c>
    </row>
    <row r="36" spans="1:2" x14ac:dyDescent="0.25">
      <c r="A36" t="s">
        <v>278</v>
      </c>
      <c r="B36">
        <v>0.48</v>
      </c>
    </row>
    <row r="37" spans="1:2" x14ac:dyDescent="0.25">
      <c r="A37" t="s">
        <v>279</v>
      </c>
      <c r="B37">
        <v>0.48</v>
      </c>
    </row>
    <row r="38" spans="1:2" x14ac:dyDescent="0.25">
      <c r="A38" t="s">
        <v>280</v>
      </c>
      <c r="B38">
        <v>0.48</v>
      </c>
    </row>
    <row r="39" spans="1:2" x14ac:dyDescent="0.25">
      <c r="A39" t="s">
        <v>281</v>
      </c>
      <c r="B39">
        <v>0.48</v>
      </c>
    </row>
    <row r="40" spans="1:2" x14ac:dyDescent="0.25">
      <c r="A40" t="s">
        <v>424</v>
      </c>
      <c r="B40">
        <v>0.48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README</vt:lpstr>
      <vt:lpstr>BIN(IN,SDP)</vt:lpstr>
      <vt:lpstr>BIR(R,IR,SDP)</vt:lpstr>
      <vt:lpstr>BIRF(IR,R)</vt:lpstr>
      <vt:lpstr>BIRI(IR,R)</vt:lpstr>
      <vt:lpstr>BISFA(SR,IS)</vt:lpstr>
      <vt:lpstr>BMR(R,PR,TRD)</vt:lpstr>
      <vt:lpstr>BPN(PN,SDP)</vt:lpstr>
      <vt:lpstr>BPRN(PR,SDP)</vt:lpstr>
      <vt:lpstr>BPSI_SA(SA,PS)</vt:lpstr>
      <vt:lpstr>BXR(R,PR,TRD)</vt:lpstr>
      <vt:lpstr>CONST(IP,AS)</vt:lpstr>
      <vt:lpstr>DT(RS,RD)</vt:lpstr>
      <vt:lpstr>ECR(R,CR,IP)</vt:lpstr>
      <vt:lpstr>ECR2(R,CR,IP)</vt:lpstr>
      <vt:lpstr>ECR3(R,CR,IP)</vt:lpstr>
      <vt:lpstr>MANURE(AS,IP)</vt:lpstr>
      <vt:lpstr>NSUB(AS,SR)</vt:lpstr>
      <vt:lpstr>NUTRIENT(P,NUTX)</vt:lpstr>
      <vt:lpstr>POP(R)</vt:lpstr>
      <vt:lpstr>PRODCOEFC_SA</vt:lpstr>
      <vt:lpstr>PRODCOEFC2_PO</vt:lpstr>
      <vt:lpstr>PRODCOEFL_SA</vt:lpstr>
      <vt:lpstr>UT(IP)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Cecilia Larsson</cp:lastModifiedBy>
  <dcterms:created xsi:type="dcterms:W3CDTF">2026-01-15T14:52:25Z</dcterms:created>
  <dcterms:modified xsi:type="dcterms:W3CDTF">2026-02-02T13:42:35Z</dcterms:modified>
</cp:coreProperties>
</file>